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May 25\"/>
    </mc:Choice>
  </mc:AlternateContent>
  <xr:revisionPtr revIDLastSave="0" documentId="8_{1C19C554-4E28-47EF-BD3A-B91DBC30BC9C}" xr6:coauthVersionLast="47" xr6:coauthVersionMax="47" xr10:uidLastSave="{00000000-0000-0000-0000-000000000000}"/>
  <bookViews>
    <workbookView xWindow="-110" yWindow="-110" windowWidth="19420" windowHeight="10300" xr2:uid="{1432A036-3032-4B93-A9F2-1D045AE9CD8D}"/>
  </bookViews>
  <sheets>
    <sheet name="IF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" i="1" l="1"/>
  <c r="G34" i="1" s="1"/>
  <c r="F33" i="1"/>
  <c r="F34" i="1" s="1"/>
  <c r="G30" i="1"/>
  <c r="F30" i="1"/>
  <c r="G27" i="1"/>
  <c r="F27" i="1"/>
  <c r="G13" i="1"/>
  <c r="G14" i="1" s="1"/>
  <c r="F13" i="1"/>
  <c r="F14" i="1" s="1"/>
  <c r="G8" i="1"/>
  <c r="G9" i="1" s="1"/>
  <c r="F8" i="1"/>
  <c r="F9" i="1" s="1"/>
  <c r="F35" i="1" l="1"/>
  <c r="G35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<sst xmlns="http://schemas.openxmlformats.org/spreadsheetml/2006/main" count="88" uniqueCount="70">
  <si>
    <t>CANARA ROBECO INCOME FUND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</si>
  <si>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</si>
  <si>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</si>
  <si>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</si>
  <si>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</si>
  <si>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</si>
  <si>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</si>
  <si>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</si>
  <si>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</si>
  <si>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May'25</t>
  </si>
  <si>
    <t>Benchmark Risk-O-Meter Level- May'25</t>
  </si>
  <si>
    <t>Scheme Risk-O-Meter Level- April'25</t>
  </si>
  <si>
    <t>Benchmark Risk-O-Meter Level- April'25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</si>
  <si>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</si>
  <si>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</si>
  <si>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</si>
  <si>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</si>
  <si>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</si>
  <si>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</si>
  <si>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</si>
  <si>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</si>
  <si>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5.62% Export-Import Bank Of India (20/06/2025) **</t>
  </si>
  <si>
    <t>INE514E08FU6</t>
  </si>
  <si>
    <t>CRISIL AAA</t>
  </si>
  <si>
    <t>Relatively Low (Class I)</t>
  </si>
  <si>
    <t>Sub Total</t>
  </si>
  <si>
    <t>Total</t>
  </si>
  <si>
    <t>Moderate 
(Class II)</t>
  </si>
  <si>
    <t>Money Market Instruments</t>
  </si>
  <si>
    <t>Treasury Bill</t>
  </si>
  <si>
    <t>Relatively High (Class III)</t>
  </si>
  <si>
    <t>B-III</t>
  </si>
  <si>
    <t>364 DTB (08-JAN-2026)</t>
  </si>
  <si>
    <t>IN002024Z396</t>
  </si>
  <si>
    <t xml:space="preserve"> Sovereign</t>
  </si>
  <si>
    <t>Benchmark: CRISIL Medium to Long Duration Debt A-III Index</t>
  </si>
  <si>
    <t>Government Bonds</t>
  </si>
  <si>
    <t>7.30% GOI 2053 (19-JUN-2053)</t>
  </si>
  <si>
    <t>IN0020230051</t>
  </si>
  <si>
    <t>Sovereign</t>
  </si>
  <si>
    <t>8.37% GOI (05/12/2028)</t>
  </si>
  <si>
    <t>IN3120180176</t>
  </si>
  <si>
    <t>8.19% GOI (23/01/2029)</t>
  </si>
  <si>
    <t>IN1920180149</t>
  </si>
  <si>
    <t>7.34% GOI 2064 (22-APR-2064)</t>
  </si>
  <si>
    <t>IN0020240035</t>
  </si>
  <si>
    <t>7.42% GOI (06/03/2035)</t>
  </si>
  <si>
    <t>IN1920230290</t>
  </si>
  <si>
    <t>7.73% GOI (08/04/2029)</t>
  </si>
  <si>
    <t>IN1520200016</t>
  </si>
  <si>
    <t>6.92% GOI 2039 (18-NOV-2039)</t>
  </si>
  <si>
    <t>IN0020240134</t>
  </si>
  <si>
    <t>7.02% GOI (03/03/2028)</t>
  </si>
  <si>
    <t>IN2020200266</t>
  </si>
  <si>
    <t>7.23% GOI 2039 (15-APR-2039)</t>
  </si>
  <si>
    <t>IN0020240027</t>
  </si>
  <si>
    <t>7.15% GOI (22/01/2035)</t>
  </si>
  <si>
    <t>IN3120240509</t>
  </si>
  <si>
    <t>8.47% Maharashtra SDL 10-Feb-26</t>
  </si>
  <si>
    <t>IN2220150188</t>
  </si>
  <si>
    <t>Alternative Investment Fund</t>
  </si>
  <si>
    <t>CORPORATE DEBT MARKET DEVELOPMENT FUND CLASS A2</t>
  </si>
  <si>
    <t>INF0RQ622028</t>
  </si>
  <si>
    <t>TREPS</t>
  </si>
  <si>
    <t>Net Receivables / (Payables)</t>
  </si>
  <si>
    <t>Grand Total</t>
  </si>
  <si>
    <t>** Non Traded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</si>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</sst>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.00_ ;_ * \-#,##0.00_ ;_ * &quot;-&quot;??_ ;_ @_ "/>
  </numFmts>
  <fonts count="1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4" fontId="3" fillId="3" borderId="9" xfId="0" applyNumberFormat="1" applyFont="1" applyFill="1" applyBorder="1"/>
    <xf numFmtId="164" fontId="3" fillId="3" borderId="10" xfId="1" applyFont="1" applyFill="1" applyBorder="1" applyAlignment="1">
      <alignment horizontal="center" vertical="center"/>
    </xf>
    <xf numFmtId="164" fontId="3" fillId="3" borderId="5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4" fontId="3" fillId="3" borderId="11" xfId="0" applyNumberFormat="1" applyFont="1" applyFill="1" applyBorder="1"/>
    <xf numFmtId="164" fontId="3" fillId="3" borderId="12" xfId="1" applyFont="1" applyFill="1" applyBorder="1" applyAlignment="1">
      <alignment horizontal="center" vertical="center"/>
    </xf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9" fillId="3" borderId="13" xfId="0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0" xfId="0" applyFont="1" applyFill="1"/>
    <xf numFmtId="0" fontId="3" fillId="0" borderId="15" xfId="0" applyFont="1" applyBorder="1" applyAlignment="1">
      <alignment horizontal="center"/>
    </xf>
    <xf numFmtId="0" fontId="9" fillId="3" borderId="16" xfId="0" applyFont="1" applyFill="1" applyBorder="1"/>
    <xf numFmtId="4" fontId="9" fillId="3" borderId="16" xfId="0" applyNumberFormat="1" applyFont="1" applyFill="1" applyBorder="1"/>
    <xf numFmtId="0" fontId="9" fillId="4" borderId="5" xfId="0" applyFont="1" applyFill="1" applyBorder="1" applyAlignment="1">
      <alignment horizontal="center" vertical="center"/>
    </xf>
    <xf numFmtId="164" fontId="3" fillId="3" borderId="15" xfId="1" applyFont="1" applyFill="1" applyBorder="1" applyAlignment="1">
      <alignment horizontal="center" vertical="center"/>
    </xf>
    <xf numFmtId="0" fontId="9" fillId="4" borderId="15" xfId="0" applyFont="1" applyFill="1" applyBorder="1" applyAlignment="1">
      <alignment horizontal="center" vertical="center"/>
    </xf>
    <xf numFmtId="164" fontId="3" fillId="3" borderId="0" xfId="1" applyFont="1" applyFill="1" applyAlignment="1"/>
    <xf numFmtId="164" fontId="3" fillId="3" borderId="0" xfId="1" applyFont="1" applyFill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8" xfId="0" applyFont="1" applyFill="1" applyBorder="1"/>
    <xf numFmtId="4" fontId="9" fillId="3" borderId="18" xfId="0" applyNumberFormat="1" applyFont="1" applyFill="1" applyBorder="1"/>
    <xf numFmtId="0" fontId="9" fillId="3" borderId="19" xfId="0" applyFont="1" applyFill="1" applyBorder="1"/>
    <xf numFmtId="4" fontId="9" fillId="3" borderId="19" xfId="0" applyNumberFormat="1" applyFont="1" applyFill="1" applyBorder="1"/>
    <xf numFmtId="0" fontId="9" fillId="3" borderId="10" xfId="0" applyFont="1" applyFill="1" applyBorder="1"/>
    <xf numFmtId="4" fontId="9" fillId="3" borderId="10" xfId="0" applyNumberFormat="1" applyFont="1" applyFill="1" applyBorder="1"/>
    <xf numFmtId="0" fontId="10" fillId="5" borderId="20" xfId="0" applyFont="1" applyFill="1" applyBorder="1"/>
    <xf numFmtId="2" fontId="9" fillId="3" borderId="21" xfId="0" applyNumberFormat="1" applyFont="1" applyFill="1" applyBorder="1"/>
    <xf numFmtId="10" fontId="9" fillId="3" borderId="21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EE327-A625-4F21-8EF1-C640DFD19EEF}">
  <dimension ref="B1:R45"/>
  <sheetViews>
    <sheetView tabSelected="1" workbookViewId="0">
      <selection activeCell="B1" sqref="B1:H1"/>
    </sheetView>
  </sheetViews>
  <sheetFormatPr defaultColWidth="9.1796875" defaultRowHeight="11.5"/>
  <cols>
    <col min="1" max="1" width="9.1796875" style="3"/>
    <col min="2" max="2" width="53.81640625" style="3" bestFit="1" customWidth="1"/>
    <col min="3" max="3" width="13.453125" style="3" bestFit="1" customWidth="1"/>
    <col min="4" max="4" width="22.81640625" style="3" bestFit="1" customWidth="1"/>
    <col min="5" max="5" width="8.81640625" style="3" bestFit="1" customWidth="1"/>
    <col min="6" max="6" width="15.26953125" style="8" bestFit="1" customWidth="1"/>
    <col min="7" max="7" width="7.453125" style="8" bestFit="1" customWidth="1"/>
    <col min="8" max="8" width="6.54296875" style="8" bestFit="1" customWidth="1"/>
    <col min="9" max="9" width="9.1796875" style="3"/>
    <col min="10" max="10" width="31.54296875" style="3" customWidth="1"/>
    <col min="11" max="11" width="35.54296875" style="3" customWidth="1"/>
    <col min="12" max="13" width="31.453125" style="3" customWidth="1"/>
    <col min="14" max="14" width="9.1796875" style="3"/>
    <col min="15" max="15" width="12.453125" style="3" customWidth="1"/>
    <col min="16" max="16384" width="9.1796875" style="3"/>
  </cols>
  <sheetData>
    <row r="1" spans="2:18" ht="21" customHeight="1">
      <c r="B1" s="1" t="s">
        <v>0</v>
      </c>
      <c r="C1" s="2"/>
      <c r="D1" s="2"/>
      <c r="E1" s="2"/>
      <c r="F1" s="2"/>
      <c r="G1" s="2"/>
      <c r="H1" s="2"/>
    </row>
    <row r="3" spans="2:18" ht="16" thickBot="1">
      <c r="B3" s="4" t="s">
        <v>1</v>
      </c>
      <c r="C3" s="5"/>
      <c r="D3" s="6"/>
      <c r="E3" s="6"/>
      <c r="F3" s="7"/>
      <c r="G3" s="7"/>
    </row>
    <row r="4" spans="2:18" ht="34.5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J4" s="13" t="s">
        <v>9</v>
      </c>
      <c r="K4" s="13" t="s">
        <v>10</v>
      </c>
      <c r="L4" s="13" t="s">
        <v>11</v>
      </c>
      <c r="M4" s="13" t="s">
        <v>12</v>
      </c>
      <c r="O4" s="14" t="s">
        <v>13</v>
      </c>
      <c r="P4" s="15"/>
      <c r="Q4" s="15"/>
      <c r="R4" s="16"/>
    </row>
    <row r="5" spans="2:18">
      <c r="B5" s="17" t="s">
        <v>14</v>
      </c>
      <c r="C5" s="18"/>
      <c r="D5" s="18"/>
      <c r="E5" s="18"/>
      <c r="F5" s="19"/>
      <c r="G5" s="19"/>
      <c r="H5" s="19"/>
      <c r="J5" s="20" t="e" vm="1">
        <v>#VALUE!</v>
      </c>
      <c r="K5" s="21" t="e" vm="2">
        <v>#VALUE!</v>
      </c>
      <c r="L5" s="20" t="e" vm="1">
        <v>#VALUE!</v>
      </c>
      <c r="M5" s="21" t="e" vm="2">
        <v>#VALUE!</v>
      </c>
      <c r="O5" s="22" t="s">
        <v>15</v>
      </c>
      <c r="P5" s="23" t="s">
        <v>16</v>
      </c>
      <c r="Q5" s="23" t="s">
        <v>17</v>
      </c>
      <c r="R5" s="23" t="s">
        <v>18</v>
      </c>
    </row>
    <row r="6" spans="2:18" ht="23">
      <c r="B6" s="24" t="s">
        <v>19</v>
      </c>
      <c r="C6" s="25"/>
      <c r="D6" s="25"/>
      <c r="E6" s="25"/>
      <c r="F6" s="26"/>
      <c r="G6" s="26"/>
      <c r="H6" s="26"/>
      <c r="J6" s="20"/>
      <c r="K6" s="27"/>
      <c r="L6" s="20"/>
      <c r="M6" s="27"/>
      <c r="O6" s="28" t="s">
        <v>20</v>
      </c>
      <c r="P6" s="23"/>
      <c r="Q6" s="23"/>
      <c r="R6" s="23"/>
    </row>
    <row r="7" spans="2:18">
      <c r="B7" s="25" t="s">
        <v>21</v>
      </c>
      <c r="C7" s="25" t="s">
        <v>22</v>
      </c>
      <c r="D7" s="25" t="s">
        <v>23</v>
      </c>
      <c r="E7" s="29">
        <v>100</v>
      </c>
      <c r="F7" s="26">
        <v>999.36</v>
      </c>
      <c r="G7" s="26">
        <v>8.23</v>
      </c>
      <c r="H7" s="26">
        <v>6.5</v>
      </c>
      <c r="J7" s="20"/>
      <c r="K7" s="27"/>
      <c r="L7" s="20"/>
      <c r="M7" s="27"/>
      <c r="O7" s="30" t="s">
        <v>24</v>
      </c>
      <c r="P7" s="31"/>
      <c r="Q7" s="31"/>
      <c r="R7" s="31"/>
    </row>
    <row r="8" spans="2:18">
      <c r="B8" s="32" t="s">
        <v>25</v>
      </c>
      <c r="C8" s="32"/>
      <c r="D8" s="32"/>
      <c r="E8" s="32"/>
      <c r="F8" s="33">
        <f>SUM(F6:F7)</f>
        <v>999.36</v>
      </c>
      <c r="G8" s="33">
        <f>SUM(G6:G7)</f>
        <v>8.23</v>
      </c>
      <c r="H8" s="34"/>
      <c r="I8" s="35"/>
      <c r="J8" s="20"/>
      <c r="K8" s="27"/>
      <c r="L8" s="20"/>
      <c r="M8" s="27"/>
      <c r="O8" s="30"/>
      <c r="P8" s="36"/>
      <c r="Q8" s="36"/>
      <c r="R8" s="36"/>
    </row>
    <row r="9" spans="2:18">
      <c r="B9" s="37" t="s">
        <v>26</v>
      </c>
      <c r="C9" s="37"/>
      <c r="D9" s="37"/>
      <c r="E9" s="37"/>
      <c r="F9" s="38">
        <f>F8</f>
        <v>999.36</v>
      </c>
      <c r="G9" s="38">
        <f>G8</f>
        <v>8.23</v>
      </c>
      <c r="H9" s="38"/>
      <c r="I9" s="35"/>
      <c r="J9" s="20"/>
      <c r="K9" s="27"/>
      <c r="L9" s="20"/>
      <c r="M9" s="27"/>
      <c r="O9" s="30" t="s">
        <v>27</v>
      </c>
      <c r="P9" s="31"/>
      <c r="Q9" s="31"/>
      <c r="R9" s="31"/>
    </row>
    <row r="10" spans="2:18">
      <c r="B10" s="24" t="s">
        <v>28</v>
      </c>
      <c r="C10" s="25"/>
      <c r="D10" s="25"/>
      <c r="E10" s="25"/>
      <c r="F10" s="26"/>
      <c r="G10" s="26"/>
      <c r="H10" s="26"/>
      <c r="J10" s="20"/>
      <c r="K10" s="27"/>
      <c r="L10" s="20"/>
      <c r="M10" s="27"/>
      <c r="O10" s="30"/>
      <c r="P10" s="36"/>
      <c r="Q10" s="36"/>
      <c r="R10" s="36"/>
    </row>
    <row r="11" spans="2:18">
      <c r="B11" s="24" t="s">
        <v>29</v>
      </c>
      <c r="C11" s="25"/>
      <c r="D11" s="25"/>
      <c r="E11" s="25"/>
      <c r="F11" s="26"/>
      <c r="G11" s="26"/>
      <c r="H11" s="26"/>
      <c r="J11" s="20"/>
      <c r="K11" s="27"/>
      <c r="L11" s="20"/>
      <c r="M11" s="27"/>
      <c r="O11" s="30" t="s">
        <v>30</v>
      </c>
      <c r="P11" s="31"/>
      <c r="Q11" s="39" t="s">
        <v>31</v>
      </c>
      <c r="R11" s="31"/>
    </row>
    <row r="12" spans="2:18">
      <c r="B12" s="25" t="s">
        <v>32</v>
      </c>
      <c r="C12" s="25" t="s">
        <v>33</v>
      </c>
      <c r="D12" s="25" t="s">
        <v>34</v>
      </c>
      <c r="E12" s="29">
        <v>100000</v>
      </c>
      <c r="F12" s="26">
        <v>96.72</v>
      </c>
      <c r="G12" s="26">
        <v>0.8</v>
      </c>
      <c r="H12" s="26">
        <v>5.6</v>
      </c>
      <c r="J12" s="20"/>
      <c r="K12" s="40"/>
      <c r="L12" s="20"/>
      <c r="M12" s="40"/>
      <c r="O12" s="30"/>
      <c r="P12" s="36"/>
      <c r="Q12" s="41"/>
      <c r="R12" s="36"/>
    </row>
    <row r="13" spans="2:18">
      <c r="B13" s="32" t="s">
        <v>25</v>
      </c>
      <c r="C13" s="32"/>
      <c r="D13" s="32"/>
      <c r="E13" s="32"/>
      <c r="F13" s="33">
        <f>SUM(F11:F12)</f>
        <v>96.72</v>
      </c>
      <c r="G13" s="33">
        <f>SUM(G11:G12)</f>
        <v>0.8</v>
      </c>
      <c r="H13" s="34"/>
      <c r="I13" s="35"/>
      <c r="J13" s="42"/>
      <c r="K13" s="42" t="s">
        <v>35</v>
      </c>
      <c r="L13" s="43"/>
      <c r="M13" s="43"/>
    </row>
    <row r="14" spans="2:18">
      <c r="B14" s="37" t="s">
        <v>26</v>
      </c>
      <c r="C14" s="37"/>
      <c r="D14" s="37"/>
      <c r="E14" s="37"/>
      <c r="F14" s="38">
        <f>+F13</f>
        <v>96.72</v>
      </c>
      <c r="G14" s="38">
        <f>+G13</f>
        <v>0.8</v>
      </c>
      <c r="H14" s="38"/>
      <c r="I14" s="35"/>
    </row>
    <row r="15" spans="2:18">
      <c r="B15" s="24" t="s">
        <v>36</v>
      </c>
      <c r="C15" s="25"/>
      <c r="D15" s="25"/>
      <c r="E15" s="25"/>
      <c r="F15" s="26"/>
      <c r="G15" s="26"/>
      <c r="H15" s="26"/>
    </row>
    <row r="16" spans="2:18">
      <c r="B16" s="25" t="s">
        <v>37</v>
      </c>
      <c r="C16" s="25" t="s">
        <v>38</v>
      </c>
      <c r="D16" s="25" t="s">
        <v>39</v>
      </c>
      <c r="E16" s="29">
        <v>2000000</v>
      </c>
      <c r="F16" s="26">
        <v>2120.6</v>
      </c>
      <c r="G16" s="26">
        <v>17.46</v>
      </c>
      <c r="H16" s="26">
        <v>6.93</v>
      </c>
    </row>
    <row r="17" spans="2:9">
      <c r="B17" s="25" t="s">
        <v>40</v>
      </c>
      <c r="C17" s="25" t="s">
        <v>41</v>
      </c>
      <c r="D17" s="25" t="s">
        <v>39</v>
      </c>
      <c r="E17" s="29">
        <v>1000000</v>
      </c>
      <c r="F17" s="26">
        <v>1071.9100000000001</v>
      </c>
      <c r="G17" s="26">
        <v>8.83</v>
      </c>
      <c r="H17" s="26">
        <v>6.16</v>
      </c>
    </row>
    <row r="18" spans="2:9">
      <c r="B18" s="25" t="s">
        <v>42</v>
      </c>
      <c r="C18" s="25" t="s">
        <v>43</v>
      </c>
      <c r="D18" s="25" t="s">
        <v>39</v>
      </c>
      <c r="E18" s="29">
        <v>1000000</v>
      </c>
      <c r="F18" s="26">
        <v>1064.6500000000001</v>
      </c>
      <c r="G18" s="26">
        <v>8.77</v>
      </c>
      <c r="H18" s="26">
        <v>6.27</v>
      </c>
    </row>
    <row r="19" spans="2:9">
      <c r="B19" s="25" t="s">
        <v>44</v>
      </c>
      <c r="C19" s="25" t="s">
        <v>45</v>
      </c>
      <c r="D19" s="25" t="s">
        <v>39</v>
      </c>
      <c r="E19" s="29">
        <v>1000000</v>
      </c>
      <c r="F19" s="26">
        <v>1064.43</v>
      </c>
      <c r="G19" s="26">
        <v>8.77</v>
      </c>
      <c r="H19" s="26">
        <v>6.98</v>
      </c>
    </row>
    <row r="20" spans="2:9">
      <c r="B20" s="25" t="s">
        <v>46</v>
      </c>
      <c r="C20" s="25" t="s">
        <v>47</v>
      </c>
      <c r="D20" s="25" t="s">
        <v>39</v>
      </c>
      <c r="E20" s="29">
        <v>1000000</v>
      </c>
      <c r="F20" s="26">
        <v>1056.9100000000001</v>
      </c>
      <c r="G20" s="26">
        <v>8.6999999999999993</v>
      </c>
      <c r="H20" s="26">
        <v>6.73</v>
      </c>
    </row>
    <row r="21" spans="2:9">
      <c r="B21" s="25" t="s">
        <v>48</v>
      </c>
      <c r="C21" s="25" t="s">
        <v>49</v>
      </c>
      <c r="D21" s="25" t="s">
        <v>39</v>
      </c>
      <c r="E21" s="29">
        <v>1000000</v>
      </c>
      <c r="F21" s="26">
        <v>1052.81</v>
      </c>
      <c r="G21" s="26">
        <v>8.67</v>
      </c>
      <c r="H21" s="26">
        <v>6.26</v>
      </c>
    </row>
    <row r="22" spans="2:9">
      <c r="B22" s="25" t="s">
        <v>50</v>
      </c>
      <c r="C22" s="25" t="s">
        <v>51</v>
      </c>
      <c r="D22" s="25" t="s">
        <v>39</v>
      </c>
      <c r="E22" s="29">
        <v>1000000</v>
      </c>
      <c r="F22" s="26">
        <v>1047.07</v>
      </c>
      <c r="G22" s="26">
        <v>8.6199999999999992</v>
      </c>
      <c r="H22" s="26">
        <v>6.52</v>
      </c>
    </row>
    <row r="23" spans="2:9">
      <c r="B23" s="25" t="s">
        <v>52</v>
      </c>
      <c r="C23" s="25" t="s">
        <v>53</v>
      </c>
      <c r="D23" s="25" t="s">
        <v>39</v>
      </c>
      <c r="E23" s="29">
        <v>1000000</v>
      </c>
      <c r="F23" s="26">
        <v>1025.29</v>
      </c>
      <c r="G23" s="26">
        <v>8.44</v>
      </c>
      <c r="H23" s="26">
        <v>6.1</v>
      </c>
    </row>
    <row r="24" spans="2:9">
      <c r="B24" s="25" t="s">
        <v>54</v>
      </c>
      <c r="C24" s="25" t="s">
        <v>55</v>
      </c>
      <c r="D24" s="25" t="s">
        <v>39</v>
      </c>
      <c r="E24" s="29">
        <v>500000</v>
      </c>
      <c r="F24" s="26">
        <v>536.61</v>
      </c>
      <c r="G24" s="26">
        <v>4.42</v>
      </c>
      <c r="H24" s="26">
        <v>6.53</v>
      </c>
    </row>
    <row r="25" spans="2:9">
      <c r="B25" s="25" t="s">
        <v>56</v>
      </c>
      <c r="C25" s="25" t="s">
        <v>57</v>
      </c>
      <c r="D25" s="25" t="s">
        <v>39</v>
      </c>
      <c r="E25" s="29">
        <v>500000</v>
      </c>
      <c r="F25" s="26">
        <v>518.25</v>
      </c>
      <c r="G25" s="26">
        <v>4.2699999999999996</v>
      </c>
      <c r="H25" s="26">
        <v>6.74</v>
      </c>
    </row>
    <row r="26" spans="2:9">
      <c r="B26" s="44" t="s">
        <v>58</v>
      </c>
      <c r="C26" s="44" t="s">
        <v>59</v>
      </c>
      <c r="D26" s="44" t="s">
        <v>39</v>
      </c>
      <c r="E26" s="45">
        <v>28000</v>
      </c>
      <c r="F26" s="46">
        <v>28.5</v>
      </c>
      <c r="G26" s="46">
        <v>0.23</v>
      </c>
      <c r="H26" s="46">
        <v>5.86</v>
      </c>
    </row>
    <row r="27" spans="2:9">
      <c r="B27" s="47" t="s">
        <v>26</v>
      </c>
      <c r="C27" s="47"/>
      <c r="D27" s="47"/>
      <c r="E27" s="47"/>
      <c r="F27" s="48">
        <f>SUM(F16:F26)</f>
        <v>10587.029999999999</v>
      </c>
      <c r="G27" s="48">
        <f>SUM(G16:G26)</f>
        <v>87.18</v>
      </c>
      <c r="H27" s="48"/>
      <c r="I27" s="35"/>
    </row>
    <row r="28" spans="2:9">
      <c r="B28" s="24" t="s">
        <v>60</v>
      </c>
      <c r="C28" s="25"/>
      <c r="D28" s="25"/>
      <c r="E28" s="25"/>
      <c r="F28" s="26"/>
      <c r="G28" s="26"/>
      <c r="H28" s="26"/>
    </row>
    <row r="29" spans="2:9">
      <c r="B29" s="44" t="s">
        <v>61</v>
      </c>
      <c r="C29" s="44" t="s">
        <v>62</v>
      </c>
      <c r="D29" s="44" t="s">
        <v>60</v>
      </c>
      <c r="E29" s="45">
        <v>314.88400000000001</v>
      </c>
      <c r="F29" s="46">
        <v>35.24</v>
      </c>
      <c r="G29" s="46">
        <v>0.28999999999999998</v>
      </c>
      <c r="H29" s="46">
        <v>5.71</v>
      </c>
    </row>
    <row r="30" spans="2:9">
      <c r="B30" s="47" t="s">
        <v>26</v>
      </c>
      <c r="C30" s="47"/>
      <c r="D30" s="47"/>
      <c r="E30" s="47"/>
      <c r="F30" s="48">
        <f>SUM(F29:F29)</f>
        <v>35.24</v>
      </c>
      <c r="G30" s="48">
        <f>SUM(G29:G29)</f>
        <v>0.28999999999999998</v>
      </c>
      <c r="H30" s="48"/>
      <c r="I30" s="35"/>
    </row>
    <row r="31" spans="2:9">
      <c r="B31" s="24" t="s">
        <v>63</v>
      </c>
      <c r="C31" s="25"/>
      <c r="D31" s="25"/>
      <c r="E31" s="25"/>
      <c r="F31" s="26"/>
      <c r="G31" s="26"/>
      <c r="H31" s="26"/>
    </row>
    <row r="32" spans="2:9">
      <c r="B32" s="25" t="s">
        <v>63</v>
      </c>
      <c r="C32" s="25"/>
      <c r="D32" s="25"/>
      <c r="E32" s="25"/>
      <c r="F32" s="26">
        <v>652.75</v>
      </c>
      <c r="G32" s="26">
        <v>5.38</v>
      </c>
      <c r="H32" s="26"/>
    </row>
    <row r="33" spans="2:9">
      <c r="B33" s="32" t="s">
        <v>25</v>
      </c>
      <c r="C33" s="32"/>
      <c r="D33" s="32"/>
      <c r="E33" s="32"/>
      <c r="F33" s="33">
        <f>SUM(F31:F32)</f>
        <v>652.75</v>
      </c>
      <c r="G33" s="33">
        <f>SUM(G31:G32)</f>
        <v>5.38</v>
      </c>
      <c r="H33" s="34"/>
      <c r="I33" s="35"/>
    </row>
    <row r="34" spans="2:9">
      <c r="B34" s="49" t="s">
        <v>26</v>
      </c>
      <c r="C34" s="49"/>
      <c r="D34" s="49"/>
      <c r="E34" s="49"/>
      <c r="F34" s="50">
        <f>F33</f>
        <v>652.75</v>
      </c>
      <c r="G34" s="50">
        <f>G33</f>
        <v>5.38</v>
      </c>
      <c r="H34" s="50"/>
      <c r="I34" s="35"/>
    </row>
    <row r="35" spans="2:9">
      <c r="B35" s="51" t="s">
        <v>64</v>
      </c>
      <c r="C35" s="51"/>
      <c r="D35" s="51"/>
      <c r="E35" s="51"/>
      <c r="F35" s="52">
        <f>F36-(+F9+F14+F27+F30+F34)</f>
        <v>-228.54999999999927</v>
      </c>
      <c r="G35" s="52">
        <f>G36-(+G9+G14+G27+G30+G34)</f>
        <v>-1.8800000000000097</v>
      </c>
      <c r="H35" s="52"/>
      <c r="I35" s="35"/>
    </row>
    <row r="36" spans="2:9">
      <c r="B36" s="51" t="s">
        <v>65</v>
      </c>
      <c r="C36" s="51"/>
      <c r="D36" s="51"/>
      <c r="E36" s="51"/>
      <c r="F36" s="52">
        <v>12142.55</v>
      </c>
      <c r="G36" s="52">
        <v>100</v>
      </c>
      <c r="H36" s="52"/>
      <c r="I36" s="35"/>
    </row>
    <row r="38" spans="2:9">
      <c r="B38" s="35" t="s">
        <v>66</v>
      </c>
    </row>
    <row r="39" spans="2:9" ht="12" thickBot="1"/>
    <row r="40" spans="2:9" ht="12.5" thickTop="1" thickBot="1">
      <c r="B40" s="53" t="s">
        <v>67</v>
      </c>
      <c r="C40" s="54">
        <v>6.4252000000000002</v>
      </c>
    </row>
    <row r="41" spans="2:9" ht="12.5" thickTop="1" thickBot="1"/>
    <row r="42" spans="2:9" ht="12.5" thickTop="1" thickBot="1">
      <c r="B42" s="53" t="s">
        <v>68</v>
      </c>
      <c r="C42" s="55">
        <v>6.5100000000000005E-2</v>
      </c>
    </row>
    <row r="43" spans="2:9" ht="12.5" thickTop="1" thickBot="1"/>
    <row r="44" spans="2:9" ht="12.5" thickTop="1" thickBot="1">
      <c r="B44" s="53" t="s">
        <v>69</v>
      </c>
      <c r="C44" s="54">
        <v>6.6749000000000001</v>
      </c>
    </row>
    <row r="45" spans="2:9" ht="12" thickTop="1"/>
  </sheetData>
  <mergeCells count="21">
    <mergeCell ref="O11:O12"/>
    <mergeCell ref="P11:P12"/>
    <mergeCell ref="Q11:Q12"/>
    <mergeCell ref="R11:R12"/>
    <mergeCell ref="P7:P8"/>
    <mergeCell ref="Q7:Q8"/>
    <mergeCell ref="R7:R8"/>
    <mergeCell ref="O9:O10"/>
    <mergeCell ref="P9:P10"/>
    <mergeCell ref="Q9:Q10"/>
    <mergeCell ref="R9:R10"/>
    <mergeCell ref="B1:H1"/>
    <mergeCell ref="O4:R4"/>
    <mergeCell ref="J5:J12"/>
    <mergeCell ref="K5:K12"/>
    <mergeCell ref="L5:L12"/>
    <mergeCell ref="M5:M12"/>
    <mergeCell ref="P5:P6"/>
    <mergeCell ref="Q5:Q6"/>
    <mergeCell ref="R5:R6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2025-06-09 11:29:34</KDate>
  <Classification>Public</Classification>
  <Subclassification/>
  <HostName>MUMCMP01346</HostName>
  <Domain_User>CANARAROBECOMF/396</Domain_User>
  <IPAdd>192.9.198.198</IPAdd>
  <FilePath>Book18</FilePath>
  <KID>1098191A8D7D638850653741243548</KID>
  <UniqueName/>
  <Suggested/>
  <Justification/>
</Klassify>
</file>

<file path=customXml/itemProps1.xml><?xml version="1.0" encoding="utf-8"?>
<ds:datastoreItem xmlns:ds="http://schemas.openxmlformats.org/officeDocument/2006/customXml" ds:itemID="{1A504F9F-6B1A-4B65-856F-D35C9DAF231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Kartiki Birje</dc:creator>
  <cp:keywords>Public</cp:keywords>
  <cp:lastModifiedBy>Kartiki Birje</cp:lastModifiedBy>
  <dcterms:created xsi:type="dcterms:W3CDTF">2025-06-09T05:59:29Z</dcterms:created>
  <dcterms:modified xsi:type="dcterms:W3CDTF">2025-06-09T05:59:34Z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1098191A8D7D638850653741243548</vt:lpwstr>
  </property>
</Properties>
</file>