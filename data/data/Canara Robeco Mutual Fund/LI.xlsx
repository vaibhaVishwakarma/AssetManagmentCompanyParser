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May 25\"/>
    </mc:Choice>
  </mc:AlternateContent>
  <xr:revisionPtr revIDLastSave="0" documentId="8_{FAA742E7-C346-451E-94F5-D413339CF569}" xr6:coauthVersionLast="47" xr6:coauthVersionMax="47" xr10:uidLastSave="{00000000-0000-0000-0000-000000000000}"/>
  <bookViews>
    <workbookView xWindow="-110" yWindow="-110" windowWidth="19420" windowHeight="10300" xr2:uid="{4DBF9E19-0294-4444-BC51-5262BEF605EC}"/>
  </bookViews>
  <sheets>
    <sheet name="L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" i="1" l="1"/>
  <c r="G58" i="1" s="1"/>
  <c r="F57" i="1"/>
  <c r="F58" i="1" s="1"/>
  <c r="G54" i="1"/>
  <c r="F54" i="1"/>
  <c r="G50" i="1"/>
  <c r="F50" i="1"/>
  <c r="G43" i="1"/>
  <c r="F43" i="1"/>
  <c r="G23" i="1"/>
  <c r="G51" i="1" s="1"/>
  <c r="F23" i="1"/>
  <c r="F51" i="1" s="1"/>
  <c r="F11" i="1"/>
  <c r="G10" i="1"/>
  <c r="G11" i="1" s="1"/>
  <c r="F10" i="1"/>
  <c r="F59" i="1" l="1"/>
  <c r="G59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<sst xmlns="http://schemas.openxmlformats.org/spreadsheetml/2006/main" count="157" uniqueCount="119">
  <si>
    <t>CANARA ROBECO LIQUID FUND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</si>
  <si>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</si>
  <si>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</si>
  <si>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</si>
  <si>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</si>
  <si>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</si>
  <si>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</si>
  <si>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</si>
  <si>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</si>
  <si>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May'25</t>
  </si>
  <si>
    <t>Benchmark Risk-O-Meter Level- May'25</t>
  </si>
  <si>
    <t>Scheme Risk-O-Meter Level- April'25</t>
  </si>
  <si>
    <t>Benchmark Risk-O-Meter Level- April'25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</si>
  <si>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</si>
  <si>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</si>
  <si>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</si>
  <si>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</si>
  <si>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</si>
  <si>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</si>
  <si>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</si>
  <si>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</si>
  <si>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7.65% Bajaj Housing Finance Ltd (21/07/2025) **</t>
  </si>
  <si>
    <t>INE377Y07326</t>
  </si>
  <si>
    <t>CRISIL AAA</t>
  </si>
  <si>
    <t>Relatively Low (Class I)</t>
  </si>
  <si>
    <t>A-I</t>
  </si>
  <si>
    <t>6.35% Power Finance Corporation Ltd (30/06/2025) **</t>
  </si>
  <si>
    <t>INE134E08LF2</t>
  </si>
  <si>
    <t>5.62% Export-Import Bank Of India (20/06/2025) **</t>
  </si>
  <si>
    <t>INE514E08FU6</t>
  </si>
  <si>
    <t>Moderate 
(Class II)</t>
  </si>
  <si>
    <t>Sub Total</t>
  </si>
  <si>
    <t>Total</t>
  </si>
  <si>
    <t>Relatively High (Class III)</t>
  </si>
  <si>
    <t>Money Market Instruments</t>
  </si>
  <si>
    <t>Certificate of Deposit</t>
  </si>
  <si>
    <t>Benchmark: CRISIL Liquid Debt A-I Index</t>
  </si>
  <si>
    <t>HDFC Bank Ltd (24/06/2025) ** #</t>
  </si>
  <si>
    <t>INE040A16FA5</t>
  </si>
  <si>
    <t>CARE A1+</t>
  </si>
  <si>
    <t>Bank of India (25/06/2025) ** #</t>
  </si>
  <si>
    <t>INE084A16DK7</t>
  </si>
  <si>
    <t>CRISIL A1+</t>
  </si>
  <si>
    <t>Axis Bank Ltd (13/08/2025) ** #</t>
  </si>
  <si>
    <t>INE238AD6AR1</t>
  </si>
  <si>
    <t>HDFC Bank Ltd (18/08/2025) ** #</t>
  </si>
  <si>
    <t>INE040A16GV9</t>
  </si>
  <si>
    <t>Punjab National Bank (19/08/2025) ** #</t>
  </si>
  <si>
    <t>INE160A16RY6</t>
  </si>
  <si>
    <t>IND A1+</t>
  </si>
  <si>
    <t>HDFC Bank Ltd (17/06/2025) ** #</t>
  </si>
  <si>
    <t>INE040A16GQ9</t>
  </si>
  <si>
    <t>ICICI Bank Ltd (27/06/2025) #</t>
  </si>
  <si>
    <t>INE090AD6162</t>
  </si>
  <si>
    <t>Indian Bank (14/08/2025) ** #</t>
  </si>
  <si>
    <t>INE562A16OU8</t>
  </si>
  <si>
    <t>Punjab National Bank (14/08/2025) ** #</t>
  </si>
  <si>
    <t>INE160A16RV2</t>
  </si>
  <si>
    <t>Commercial Paper</t>
  </si>
  <si>
    <t>Reliance Industries Ltd (25/06/2025) **</t>
  </si>
  <si>
    <t>INE002A14LF7</t>
  </si>
  <si>
    <t>Indian Oil Corporation Ltd (27/06/2025)</t>
  </si>
  <si>
    <t>INE242A14XQ1</t>
  </si>
  <si>
    <t>ICRA A1+</t>
  </si>
  <si>
    <t>Sundaram Finance Ltd (18/08/2025) **</t>
  </si>
  <si>
    <t>INE660A14YN9</t>
  </si>
  <si>
    <t>ICICI Securities Ltd (26/08/2025) **</t>
  </si>
  <si>
    <t>INE763G14YR9</t>
  </si>
  <si>
    <t>National Bank For Agriculture &amp; Rural Development (17/06/2025) **</t>
  </si>
  <si>
    <t>INE261F14NM0</t>
  </si>
  <si>
    <t>National Bank For Agriculture &amp; Rural Development (20/06/2025) **</t>
  </si>
  <si>
    <t>INE261F14NL2</t>
  </si>
  <si>
    <t>ICICI Home Finance Co Ltd (27/06/2025) **</t>
  </si>
  <si>
    <t>INE071G14GQ6</t>
  </si>
  <si>
    <t>NTPC Ltd (30/07/2025) **</t>
  </si>
  <si>
    <t>INE733E14BV7</t>
  </si>
  <si>
    <t>Aditya Birla Capital Ltd (14/08/2025) **</t>
  </si>
  <si>
    <t>INE674K14AA6</t>
  </si>
  <si>
    <t>Export-Import Bank Of India (12/06/2025)</t>
  </si>
  <si>
    <t>INE514E14SS1</t>
  </si>
  <si>
    <t>ICICI Securities Ltd (17/06/2025) **</t>
  </si>
  <si>
    <t>INE763G14XU5</t>
  </si>
  <si>
    <t>HDFC Securities Ltd (17/06/2025) **</t>
  </si>
  <si>
    <t>INE700G14NU8</t>
  </si>
  <si>
    <t>Kotak Securities Ltd (19/08/2025) **</t>
  </si>
  <si>
    <t>INE028E14RB0</t>
  </si>
  <si>
    <t>SBICAP Securities Ltd (20/08/2025) **</t>
  </si>
  <si>
    <t>INE212K14BF2</t>
  </si>
  <si>
    <t>HDFC Securities Ltd (29/08/2025) **</t>
  </si>
  <si>
    <t>INE700G14ON1</t>
  </si>
  <si>
    <t>ICICI Home Finance Co Ltd (19/06/2025) **</t>
  </si>
  <si>
    <t>INE071G14GP8</t>
  </si>
  <si>
    <t>ICICI Securities Ltd (18/06/2025) **</t>
  </si>
  <si>
    <t>INE763G14XV3</t>
  </si>
  <si>
    <t>Small Industries Development Bank Of India (26/06/2025) **</t>
  </si>
  <si>
    <t>INE556F14KM9</t>
  </si>
  <si>
    <t>Treasury Bill</t>
  </si>
  <si>
    <t>91 DTB (19-JUN-2025)</t>
  </si>
  <si>
    <t>IN002024X508</t>
  </si>
  <si>
    <t xml:space="preserve"> Sovereign</t>
  </si>
  <si>
    <t>182 DTB (07-AUG-2025)</t>
  </si>
  <si>
    <t>IN002024Y431</t>
  </si>
  <si>
    <t>91 DTB (01-AUG-2025)</t>
  </si>
  <si>
    <t>IN002025X059</t>
  </si>
  <si>
    <t>182 DTB (24-JUL-2025)</t>
  </si>
  <si>
    <t>IN002024Y415</t>
  </si>
  <si>
    <t>182 DTB (19-JUN-2025)</t>
  </si>
  <si>
    <t>IN002024Y365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</si>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</sst>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5" xfId="1" applyFont="1" applyFill="1" applyBorder="1" applyAlignment="1">
      <alignment horizontal="center" vertical="center"/>
    </xf>
    <xf numFmtId="164" fontId="3" fillId="3" borderId="10" xfId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wrapText="1"/>
    </xf>
    <xf numFmtId="0" fontId="9" fillId="0" borderId="5" xfId="0" applyFont="1" applyBorder="1" applyAlignment="1">
      <alignment horizontal="center" vertical="center" wrapText="1"/>
    </xf>
    <xf numFmtId="0" fontId="9" fillId="3" borderId="11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164" fontId="3" fillId="3" borderId="12" xfId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center" vertical="center" wrapText="1"/>
    </xf>
    <xf numFmtId="3" fontId="3" fillId="3" borderId="11" xfId="0" applyNumberFormat="1" applyFont="1" applyFill="1" applyBorder="1"/>
    <xf numFmtId="0" fontId="9" fillId="0" borderId="5" xfId="0" applyFont="1" applyBorder="1" applyAlignment="1">
      <alignment horizontal="left" wrapText="1"/>
    </xf>
    <xf numFmtId="0" fontId="9" fillId="4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9" fillId="0" borderId="13" xfId="0" applyFont="1" applyBorder="1" applyAlignment="1">
      <alignment horizontal="left" wrapText="1"/>
    </xf>
    <xf numFmtId="0" fontId="9" fillId="4" borderId="13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9" fillId="3" borderId="14" xfId="0" applyFont="1" applyFill="1" applyBorder="1"/>
    <xf numFmtId="4" fontId="9" fillId="3" borderId="15" xfId="0" applyNumberFormat="1" applyFont="1" applyFill="1" applyBorder="1"/>
    <xf numFmtId="4" fontId="9" fillId="3" borderId="14" xfId="0" applyNumberFormat="1" applyFont="1" applyFill="1" applyBorder="1"/>
    <xf numFmtId="0" fontId="9" fillId="3" borderId="0" xfId="0" applyFont="1" applyFill="1"/>
    <xf numFmtId="0" fontId="9" fillId="3" borderId="16" xfId="0" applyFont="1" applyFill="1" applyBorder="1"/>
    <xf numFmtId="4" fontId="9" fillId="3" borderId="16" xfId="0" applyNumberFormat="1" applyFont="1" applyFill="1" applyBorder="1"/>
    <xf numFmtId="164" fontId="3" fillId="3" borderId="13" xfId="1" applyFont="1" applyFill="1" applyBorder="1" applyAlignment="1">
      <alignment horizontal="center" vertical="center"/>
    </xf>
    <xf numFmtId="164" fontId="3" fillId="3" borderId="0" xfId="1" applyFont="1" applyFill="1" applyAlignment="1"/>
    <xf numFmtId="164" fontId="3" fillId="3" borderId="0" xfId="1" applyFont="1" applyFill="1"/>
    <xf numFmtId="4" fontId="9" fillId="3" borderId="17" xfId="0" applyNumberFormat="1" applyFont="1" applyFill="1" applyBorder="1"/>
    <xf numFmtId="4" fontId="9" fillId="3" borderId="11" xfId="0" applyNumberFormat="1" applyFont="1" applyFill="1" applyBorder="1"/>
    <xf numFmtId="0" fontId="3" fillId="3" borderId="18" xfId="0" applyFont="1" applyFill="1" applyBorder="1"/>
    <xf numFmtId="3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7" xfId="0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10" xfId="0" applyFont="1" applyFill="1" applyBorder="1"/>
    <xf numFmtId="4" fontId="9" fillId="3" borderId="10" xfId="0" applyNumberFormat="1" applyFont="1" applyFill="1" applyBorder="1"/>
    <xf numFmtId="0" fontId="10" fillId="5" borderId="20" xfId="0" applyFont="1" applyFill="1" applyBorder="1"/>
    <xf numFmtId="2" fontId="9" fillId="3" borderId="21" xfId="0" applyNumberFormat="1" applyFont="1" applyFill="1" applyBorder="1"/>
    <xf numFmtId="10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C135B-B249-40C9-886D-3B196D418027}">
  <dimension ref="B1:R70"/>
  <sheetViews>
    <sheetView tabSelected="1" workbookViewId="0">
      <selection activeCell="B1" sqref="B1:H1"/>
    </sheetView>
  </sheetViews>
  <sheetFormatPr defaultColWidth="9.1796875" defaultRowHeight="11.5"/>
  <cols>
    <col min="1" max="1" width="9.1796875" style="3"/>
    <col min="2" max="2" width="54.7265625" style="3" bestFit="1" customWidth="1"/>
    <col min="3" max="3" width="13.81640625" style="3" bestFit="1" customWidth="1"/>
    <col min="4" max="4" width="22.81640625" style="3" bestFit="1" customWidth="1"/>
    <col min="5" max="5" width="9.81640625" style="3" bestFit="1" customWidth="1"/>
    <col min="6" max="6" width="15.26953125" style="8" bestFit="1" customWidth="1"/>
    <col min="7" max="7" width="7.453125" style="8" bestFit="1" customWidth="1"/>
    <col min="8" max="8" width="6.54296875" style="8" bestFit="1" customWidth="1"/>
    <col min="9" max="9" width="9.1796875" style="3"/>
    <col min="10" max="10" width="31.54296875" style="3" customWidth="1"/>
    <col min="11" max="11" width="35.54296875" style="3" customWidth="1"/>
    <col min="12" max="13" width="31.453125" style="3" customWidth="1"/>
    <col min="14" max="14" width="9.1796875" style="3"/>
    <col min="15" max="15" width="13.26953125" style="3" customWidth="1"/>
    <col min="16" max="16384" width="9.1796875" style="3"/>
  </cols>
  <sheetData>
    <row r="1" spans="2:18" ht="21" customHeight="1">
      <c r="B1" s="1" t="s">
        <v>0</v>
      </c>
      <c r="C1" s="2"/>
      <c r="D1" s="2"/>
      <c r="E1" s="2"/>
      <c r="F1" s="2"/>
      <c r="G1" s="2"/>
      <c r="H1" s="2"/>
    </row>
    <row r="3" spans="2:18" ht="16" thickBot="1">
      <c r="B3" s="4" t="s">
        <v>1</v>
      </c>
      <c r="C3" s="5"/>
      <c r="D3" s="6"/>
      <c r="E3" s="6"/>
      <c r="F3" s="7"/>
      <c r="G3" s="7"/>
    </row>
    <row r="4" spans="2:18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O4" s="14" t="s">
        <v>13</v>
      </c>
      <c r="P4" s="15"/>
      <c r="Q4" s="15"/>
      <c r="R4" s="16"/>
    </row>
    <row r="5" spans="2:18">
      <c r="B5" s="17" t="s">
        <v>14</v>
      </c>
      <c r="C5" s="18"/>
      <c r="D5" s="18"/>
      <c r="E5" s="18"/>
      <c r="F5" s="19"/>
      <c r="G5" s="19"/>
      <c r="H5" s="19"/>
      <c r="J5" s="20" t="e" vm="1">
        <v>#VALUE!</v>
      </c>
      <c r="K5" s="21" t="e" vm="2">
        <v>#VALUE!</v>
      </c>
      <c r="L5" s="20" t="e" vm="1">
        <v>#VALUE!</v>
      </c>
      <c r="M5" s="21" t="e" vm="2">
        <v>#VALUE!</v>
      </c>
      <c r="O5" s="22" t="s">
        <v>15</v>
      </c>
      <c r="P5" s="23" t="s">
        <v>16</v>
      </c>
      <c r="Q5" s="23" t="s">
        <v>17</v>
      </c>
      <c r="R5" s="23" t="s">
        <v>18</v>
      </c>
    </row>
    <row r="6" spans="2:18" ht="23">
      <c r="B6" s="24" t="s">
        <v>19</v>
      </c>
      <c r="C6" s="25"/>
      <c r="D6" s="25"/>
      <c r="E6" s="25"/>
      <c r="F6" s="26"/>
      <c r="G6" s="26"/>
      <c r="H6" s="26"/>
      <c r="J6" s="27"/>
      <c r="K6" s="21"/>
      <c r="L6" s="27"/>
      <c r="M6" s="21"/>
      <c r="O6" s="28" t="s">
        <v>20</v>
      </c>
      <c r="P6" s="29"/>
      <c r="Q6" s="29"/>
      <c r="R6" s="29"/>
    </row>
    <row r="7" spans="2:18">
      <c r="B7" s="25" t="s">
        <v>21</v>
      </c>
      <c r="C7" s="25" t="s">
        <v>22</v>
      </c>
      <c r="D7" s="25" t="s">
        <v>23</v>
      </c>
      <c r="E7" s="30">
        <v>500</v>
      </c>
      <c r="F7" s="26">
        <v>5005.43</v>
      </c>
      <c r="G7" s="26">
        <v>1.07</v>
      </c>
      <c r="H7" s="26">
        <v>6.43</v>
      </c>
      <c r="J7" s="27"/>
      <c r="K7" s="21"/>
      <c r="L7" s="27"/>
      <c r="M7" s="21"/>
      <c r="O7" s="31" t="s">
        <v>24</v>
      </c>
      <c r="P7" s="32" t="s">
        <v>25</v>
      </c>
      <c r="Q7" s="33"/>
      <c r="R7" s="34"/>
    </row>
    <row r="8" spans="2:18">
      <c r="B8" s="25" t="s">
        <v>26</v>
      </c>
      <c r="C8" s="25" t="s">
        <v>27</v>
      </c>
      <c r="D8" s="25" t="s">
        <v>23</v>
      </c>
      <c r="E8" s="30">
        <v>500</v>
      </c>
      <c r="F8" s="26">
        <v>1499.5</v>
      </c>
      <c r="G8" s="26">
        <v>0.32</v>
      </c>
      <c r="H8" s="26">
        <v>6.39</v>
      </c>
      <c r="J8" s="27"/>
      <c r="K8" s="21"/>
      <c r="L8" s="27"/>
      <c r="M8" s="21"/>
      <c r="O8" s="35"/>
      <c r="P8" s="36"/>
      <c r="Q8" s="37"/>
      <c r="R8" s="38"/>
    </row>
    <row r="9" spans="2:18">
      <c r="B9" s="25" t="s">
        <v>28</v>
      </c>
      <c r="C9" s="25" t="s">
        <v>29</v>
      </c>
      <c r="D9" s="25" t="s">
        <v>23</v>
      </c>
      <c r="E9" s="30">
        <v>50</v>
      </c>
      <c r="F9" s="26">
        <v>499.68</v>
      </c>
      <c r="G9" s="26">
        <v>0.11</v>
      </c>
      <c r="H9" s="26">
        <v>6.5</v>
      </c>
      <c r="J9" s="27"/>
      <c r="K9" s="21"/>
      <c r="L9" s="27"/>
      <c r="M9" s="21"/>
      <c r="O9" s="31" t="s">
        <v>30</v>
      </c>
      <c r="P9" s="34"/>
      <c r="Q9" s="34"/>
      <c r="R9" s="34"/>
    </row>
    <row r="10" spans="2:18">
      <c r="B10" s="39" t="s">
        <v>31</v>
      </c>
      <c r="C10" s="39"/>
      <c r="D10" s="39"/>
      <c r="E10" s="39"/>
      <c r="F10" s="40">
        <f>SUM(F6:F9)</f>
        <v>7004.6100000000006</v>
      </c>
      <c r="G10" s="40">
        <f>SUM(G6:G9)</f>
        <v>1.5000000000000002</v>
      </c>
      <c r="H10" s="41"/>
      <c r="I10" s="42"/>
      <c r="J10" s="27"/>
      <c r="K10" s="21"/>
      <c r="L10" s="27"/>
      <c r="M10" s="21"/>
      <c r="O10" s="35"/>
      <c r="P10" s="38"/>
      <c r="Q10" s="38"/>
      <c r="R10" s="38"/>
    </row>
    <row r="11" spans="2:18">
      <c r="B11" s="43" t="s">
        <v>32</v>
      </c>
      <c r="C11" s="43"/>
      <c r="D11" s="43"/>
      <c r="E11" s="43"/>
      <c r="F11" s="44">
        <f>F10</f>
        <v>7004.6100000000006</v>
      </c>
      <c r="G11" s="44">
        <f>G10</f>
        <v>1.5000000000000002</v>
      </c>
      <c r="H11" s="44"/>
      <c r="I11" s="42"/>
      <c r="J11" s="27"/>
      <c r="K11" s="21"/>
      <c r="L11" s="27"/>
      <c r="M11" s="21"/>
      <c r="O11" s="31" t="s">
        <v>33</v>
      </c>
      <c r="P11" s="34"/>
      <c r="Q11" s="34"/>
      <c r="R11" s="34"/>
    </row>
    <row r="12" spans="2:18">
      <c r="B12" s="24" t="s">
        <v>34</v>
      </c>
      <c r="C12" s="25"/>
      <c r="D12" s="25"/>
      <c r="E12" s="25"/>
      <c r="F12" s="26"/>
      <c r="G12" s="26"/>
      <c r="H12" s="26"/>
      <c r="J12" s="45"/>
      <c r="K12" s="21"/>
      <c r="L12" s="45"/>
      <c r="M12" s="21"/>
      <c r="O12" s="35"/>
      <c r="P12" s="38"/>
      <c r="Q12" s="38"/>
      <c r="R12" s="38"/>
    </row>
    <row r="13" spans="2:18">
      <c r="B13" s="24" t="s">
        <v>35</v>
      </c>
      <c r="C13" s="25"/>
      <c r="D13" s="25"/>
      <c r="E13" s="25"/>
      <c r="F13" s="26"/>
      <c r="G13" s="26"/>
      <c r="H13" s="26"/>
      <c r="J13" s="46"/>
      <c r="K13" s="46" t="s">
        <v>36</v>
      </c>
      <c r="L13" s="47"/>
      <c r="M13" s="47"/>
    </row>
    <row r="14" spans="2:18">
      <c r="B14" s="25" t="s">
        <v>37</v>
      </c>
      <c r="C14" s="25" t="s">
        <v>38</v>
      </c>
      <c r="D14" s="25" t="s">
        <v>39</v>
      </c>
      <c r="E14" s="30">
        <v>4000</v>
      </c>
      <c r="F14" s="26">
        <v>19920.86</v>
      </c>
      <c r="G14" s="26">
        <v>4.25</v>
      </c>
      <c r="H14" s="26">
        <v>6.3</v>
      </c>
    </row>
    <row r="15" spans="2:18">
      <c r="B15" s="25" t="s">
        <v>40</v>
      </c>
      <c r="C15" s="25" t="s">
        <v>41</v>
      </c>
      <c r="D15" s="25" t="s">
        <v>42</v>
      </c>
      <c r="E15" s="30">
        <v>4000</v>
      </c>
      <c r="F15" s="26">
        <v>19917.12</v>
      </c>
      <c r="G15" s="26">
        <v>4.24</v>
      </c>
      <c r="H15" s="26">
        <v>6.33</v>
      </c>
    </row>
    <row r="16" spans="2:18">
      <c r="B16" s="25" t="s">
        <v>43</v>
      </c>
      <c r="C16" s="25" t="s">
        <v>44</v>
      </c>
      <c r="D16" s="25" t="s">
        <v>42</v>
      </c>
      <c r="E16" s="30">
        <v>4000</v>
      </c>
      <c r="F16" s="26">
        <v>19757.78</v>
      </c>
      <c r="G16" s="26">
        <v>4.21</v>
      </c>
      <c r="H16" s="26">
        <v>6.13</v>
      </c>
    </row>
    <row r="17" spans="2:9">
      <c r="B17" s="25" t="s">
        <v>45</v>
      </c>
      <c r="C17" s="25" t="s">
        <v>46</v>
      </c>
      <c r="D17" s="25" t="s">
        <v>39</v>
      </c>
      <c r="E17" s="30">
        <v>4000</v>
      </c>
      <c r="F17" s="26">
        <v>19741.599999999999</v>
      </c>
      <c r="G17" s="26">
        <v>4.21</v>
      </c>
      <c r="H17" s="26">
        <v>6.13</v>
      </c>
    </row>
    <row r="18" spans="2:9">
      <c r="B18" s="25" t="s">
        <v>47</v>
      </c>
      <c r="C18" s="25" t="s">
        <v>48</v>
      </c>
      <c r="D18" s="25" t="s">
        <v>49</v>
      </c>
      <c r="E18" s="30">
        <v>3000</v>
      </c>
      <c r="F18" s="26">
        <v>14802.96</v>
      </c>
      <c r="G18" s="26">
        <v>3.15</v>
      </c>
      <c r="H18" s="26">
        <v>6.15</v>
      </c>
    </row>
    <row r="19" spans="2:9">
      <c r="B19" s="25" t="s">
        <v>50</v>
      </c>
      <c r="C19" s="25" t="s">
        <v>51</v>
      </c>
      <c r="D19" s="25" t="s">
        <v>39</v>
      </c>
      <c r="E19" s="30">
        <v>2000</v>
      </c>
      <c r="F19" s="26">
        <v>9972.44</v>
      </c>
      <c r="G19" s="26">
        <v>2.13</v>
      </c>
      <c r="H19" s="26">
        <v>6.3</v>
      </c>
    </row>
    <row r="20" spans="2:9">
      <c r="B20" s="25" t="s">
        <v>52</v>
      </c>
      <c r="C20" s="25" t="s">
        <v>53</v>
      </c>
      <c r="D20" s="25" t="s">
        <v>42</v>
      </c>
      <c r="E20" s="30">
        <v>2000</v>
      </c>
      <c r="F20" s="26">
        <v>9955.32</v>
      </c>
      <c r="G20" s="26">
        <v>2.12</v>
      </c>
      <c r="H20" s="26">
        <v>6.3</v>
      </c>
    </row>
    <row r="21" spans="2:9">
      <c r="B21" s="25" t="s">
        <v>54</v>
      </c>
      <c r="C21" s="25" t="s">
        <v>55</v>
      </c>
      <c r="D21" s="25" t="s">
        <v>42</v>
      </c>
      <c r="E21" s="30">
        <v>2000</v>
      </c>
      <c r="F21" s="26">
        <v>9877.5400000000009</v>
      </c>
      <c r="G21" s="26">
        <v>2.11</v>
      </c>
      <c r="H21" s="26">
        <v>6.12</v>
      </c>
    </row>
    <row r="22" spans="2:9">
      <c r="B22" s="25" t="s">
        <v>56</v>
      </c>
      <c r="C22" s="25" t="s">
        <v>57</v>
      </c>
      <c r="D22" s="25" t="s">
        <v>49</v>
      </c>
      <c r="E22" s="30">
        <v>2000</v>
      </c>
      <c r="F22" s="26">
        <v>9876.85</v>
      </c>
      <c r="G22" s="26">
        <v>2.1</v>
      </c>
      <c r="H22" s="26">
        <v>6.15</v>
      </c>
    </row>
    <row r="23" spans="2:9">
      <c r="B23" s="24" t="s">
        <v>31</v>
      </c>
      <c r="C23" s="24"/>
      <c r="D23" s="24"/>
      <c r="E23" s="24"/>
      <c r="F23" s="48">
        <f>SUM(F13:F22)</f>
        <v>133822.47</v>
      </c>
      <c r="G23" s="48">
        <f>SUM(G13:G22)</f>
        <v>28.52</v>
      </c>
      <c r="H23" s="49"/>
      <c r="I23" s="42"/>
    </row>
    <row r="24" spans="2:9">
      <c r="B24" s="24" t="s">
        <v>58</v>
      </c>
      <c r="C24" s="25"/>
      <c r="D24" s="25"/>
      <c r="E24" s="25"/>
      <c r="F24" s="26"/>
      <c r="G24" s="26"/>
      <c r="H24" s="26"/>
    </row>
    <row r="25" spans="2:9">
      <c r="B25" s="25" t="s">
        <v>59</v>
      </c>
      <c r="C25" s="25" t="s">
        <v>60</v>
      </c>
      <c r="D25" s="25" t="s">
        <v>42</v>
      </c>
      <c r="E25" s="30">
        <v>5500</v>
      </c>
      <c r="F25" s="26">
        <v>27384.94</v>
      </c>
      <c r="G25" s="26">
        <v>5.84</v>
      </c>
      <c r="H25" s="26">
        <v>6.39</v>
      </c>
    </row>
    <row r="26" spans="2:9">
      <c r="B26" s="25" t="s">
        <v>61</v>
      </c>
      <c r="C26" s="25" t="s">
        <v>62</v>
      </c>
      <c r="D26" s="25" t="s">
        <v>63</v>
      </c>
      <c r="E26" s="30">
        <v>4000</v>
      </c>
      <c r="F26" s="26">
        <v>19908.82</v>
      </c>
      <c r="G26" s="26">
        <v>4.24</v>
      </c>
      <c r="H26" s="26">
        <v>6.43</v>
      </c>
    </row>
    <row r="27" spans="2:9">
      <c r="B27" s="25" t="s">
        <v>64</v>
      </c>
      <c r="C27" s="25" t="s">
        <v>65</v>
      </c>
      <c r="D27" s="25" t="s">
        <v>42</v>
      </c>
      <c r="E27" s="30">
        <v>4000</v>
      </c>
      <c r="F27" s="26">
        <v>19729.96</v>
      </c>
      <c r="G27" s="26">
        <v>4.2</v>
      </c>
      <c r="H27" s="26">
        <v>6.41</v>
      </c>
    </row>
    <row r="28" spans="2:9">
      <c r="B28" s="25" t="s">
        <v>66</v>
      </c>
      <c r="C28" s="25" t="s">
        <v>67</v>
      </c>
      <c r="D28" s="25" t="s">
        <v>42</v>
      </c>
      <c r="E28" s="30">
        <v>3500</v>
      </c>
      <c r="F28" s="26">
        <v>17235.63</v>
      </c>
      <c r="G28" s="26">
        <v>3.67</v>
      </c>
      <c r="H28" s="26">
        <v>6.51</v>
      </c>
    </row>
    <row r="29" spans="2:9">
      <c r="B29" s="25" t="s">
        <v>68</v>
      </c>
      <c r="C29" s="25" t="s">
        <v>69</v>
      </c>
      <c r="D29" s="25" t="s">
        <v>63</v>
      </c>
      <c r="E29" s="30">
        <v>3000</v>
      </c>
      <c r="F29" s="26">
        <v>14958.33</v>
      </c>
      <c r="G29" s="26">
        <v>3.19</v>
      </c>
      <c r="H29" s="26">
        <v>6.36</v>
      </c>
    </row>
    <row r="30" spans="2:9">
      <c r="B30" s="25" t="s">
        <v>70</v>
      </c>
      <c r="C30" s="25" t="s">
        <v>71</v>
      </c>
      <c r="D30" s="25" t="s">
        <v>63</v>
      </c>
      <c r="E30" s="30">
        <v>3000</v>
      </c>
      <c r="F30" s="26">
        <v>14950.55</v>
      </c>
      <c r="G30" s="26">
        <v>3.19</v>
      </c>
      <c r="H30" s="26">
        <v>6.36</v>
      </c>
    </row>
    <row r="31" spans="2:9">
      <c r="B31" s="25" t="s">
        <v>72</v>
      </c>
      <c r="C31" s="25" t="s">
        <v>73</v>
      </c>
      <c r="D31" s="25" t="s">
        <v>63</v>
      </c>
      <c r="E31" s="30">
        <v>3000</v>
      </c>
      <c r="F31" s="26">
        <v>14931.03</v>
      </c>
      <c r="G31" s="26">
        <v>3.18</v>
      </c>
      <c r="H31" s="26">
        <v>6.48</v>
      </c>
    </row>
    <row r="32" spans="2:9">
      <c r="B32" s="25" t="s">
        <v>74</v>
      </c>
      <c r="C32" s="25" t="s">
        <v>75</v>
      </c>
      <c r="D32" s="25" t="s">
        <v>42</v>
      </c>
      <c r="E32" s="30">
        <v>3000</v>
      </c>
      <c r="F32" s="26">
        <v>14850.57</v>
      </c>
      <c r="G32" s="26">
        <v>3.16</v>
      </c>
      <c r="H32" s="26">
        <v>6.22</v>
      </c>
    </row>
    <row r="33" spans="2:9">
      <c r="B33" s="25" t="s">
        <v>76</v>
      </c>
      <c r="C33" s="25" t="s">
        <v>77</v>
      </c>
      <c r="D33" s="25" t="s">
        <v>63</v>
      </c>
      <c r="E33" s="30">
        <v>3000</v>
      </c>
      <c r="F33" s="26">
        <v>14806.4</v>
      </c>
      <c r="G33" s="26">
        <v>3.16</v>
      </c>
      <c r="H33" s="26">
        <v>6.45</v>
      </c>
    </row>
    <row r="34" spans="2:9">
      <c r="B34" s="25" t="s">
        <v>78</v>
      </c>
      <c r="C34" s="25" t="s">
        <v>79</v>
      </c>
      <c r="D34" s="25" t="s">
        <v>42</v>
      </c>
      <c r="E34" s="30">
        <v>2000</v>
      </c>
      <c r="F34" s="26">
        <v>9981.14</v>
      </c>
      <c r="G34" s="26">
        <v>2.13</v>
      </c>
      <c r="H34" s="26">
        <v>6.27</v>
      </c>
    </row>
    <row r="35" spans="2:9">
      <c r="B35" s="25" t="s">
        <v>80</v>
      </c>
      <c r="C35" s="25" t="s">
        <v>81</v>
      </c>
      <c r="D35" s="25" t="s">
        <v>42</v>
      </c>
      <c r="E35" s="30">
        <v>2000</v>
      </c>
      <c r="F35" s="26">
        <v>9969.84</v>
      </c>
      <c r="G35" s="26">
        <v>2.12</v>
      </c>
      <c r="H35" s="26">
        <v>6.9</v>
      </c>
    </row>
    <row r="36" spans="2:9">
      <c r="B36" s="25" t="s">
        <v>82</v>
      </c>
      <c r="C36" s="25" t="s">
        <v>83</v>
      </c>
      <c r="D36" s="25" t="s">
        <v>63</v>
      </c>
      <c r="E36" s="30">
        <v>2000</v>
      </c>
      <c r="F36" s="26">
        <v>9969.84</v>
      </c>
      <c r="G36" s="26">
        <v>2.12</v>
      </c>
      <c r="H36" s="26">
        <v>6.9</v>
      </c>
    </row>
    <row r="37" spans="2:9">
      <c r="B37" s="25" t="s">
        <v>84</v>
      </c>
      <c r="C37" s="25" t="s">
        <v>85</v>
      </c>
      <c r="D37" s="25" t="s">
        <v>42</v>
      </c>
      <c r="E37" s="30">
        <v>2000</v>
      </c>
      <c r="F37" s="26">
        <v>9859.85</v>
      </c>
      <c r="G37" s="26">
        <v>2.1</v>
      </c>
      <c r="H37" s="26">
        <v>6.57</v>
      </c>
    </row>
    <row r="38" spans="2:9">
      <c r="B38" s="25" t="s">
        <v>86</v>
      </c>
      <c r="C38" s="25" t="s">
        <v>87</v>
      </c>
      <c r="D38" s="25" t="s">
        <v>42</v>
      </c>
      <c r="E38" s="30">
        <v>2000</v>
      </c>
      <c r="F38" s="26">
        <v>9857.2000000000007</v>
      </c>
      <c r="G38" s="26">
        <v>2.1</v>
      </c>
      <c r="H38" s="26">
        <v>6.61</v>
      </c>
    </row>
    <row r="39" spans="2:9">
      <c r="B39" s="25" t="s">
        <v>88</v>
      </c>
      <c r="C39" s="25" t="s">
        <v>89</v>
      </c>
      <c r="D39" s="25" t="s">
        <v>63</v>
      </c>
      <c r="E39" s="30">
        <v>2000</v>
      </c>
      <c r="F39" s="26">
        <v>9843.27</v>
      </c>
      <c r="G39" s="26">
        <v>2.1</v>
      </c>
      <c r="H39" s="26">
        <v>6.53</v>
      </c>
    </row>
    <row r="40" spans="2:9">
      <c r="B40" s="25" t="s">
        <v>90</v>
      </c>
      <c r="C40" s="25" t="s">
        <v>91</v>
      </c>
      <c r="D40" s="25" t="s">
        <v>63</v>
      </c>
      <c r="E40" s="30">
        <v>1000</v>
      </c>
      <c r="F40" s="26">
        <v>4984.0600000000004</v>
      </c>
      <c r="G40" s="26">
        <v>1.06</v>
      </c>
      <c r="H40" s="26">
        <v>6.49</v>
      </c>
    </row>
    <row r="41" spans="2:9">
      <c r="B41" s="25" t="s">
        <v>92</v>
      </c>
      <c r="C41" s="25" t="s">
        <v>93</v>
      </c>
      <c r="D41" s="25" t="s">
        <v>42</v>
      </c>
      <c r="E41" s="30">
        <v>1000</v>
      </c>
      <c r="F41" s="26">
        <v>4983.99</v>
      </c>
      <c r="G41" s="26">
        <v>1.06</v>
      </c>
      <c r="H41" s="26">
        <v>6.9</v>
      </c>
    </row>
    <row r="42" spans="2:9">
      <c r="B42" s="25" t="s">
        <v>94</v>
      </c>
      <c r="C42" s="25" t="s">
        <v>95</v>
      </c>
      <c r="D42" s="25" t="s">
        <v>39</v>
      </c>
      <c r="E42" s="30">
        <v>500</v>
      </c>
      <c r="F42" s="26">
        <v>2489.14</v>
      </c>
      <c r="G42" s="26">
        <v>0.53</v>
      </c>
      <c r="H42" s="26">
        <v>6.37</v>
      </c>
    </row>
    <row r="43" spans="2:9">
      <c r="B43" s="24" t="s">
        <v>31</v>
      </c>
      <c r="C43" s="24"/>
      <c r="D43" s="24"/>
      <c r="E43" s="24"/>
      <c r="F43" s="48">
        <f>SUM(F24:F42)</f>
        <v>230694.56</v>
      </c>
      <c r="G43" s="48">
        <f>SUM(G24:G42)</f>
        <v>49.150000000000013</v>
      </c>
      <c r="H43" s="49"/>
      <c r="I43" s="42"/>
    </row>
    <row r="44" spans="2:9">
      <c r="B44" s="24" t="s">
        <v>96</v>
      </c>
      <c r="C44" s="25"/>
      <c r="D44" s="25"/>
      <c r="E44" s="25"/>
      <c r="F44" s="26"/>
      <c r="G44" s="26"/>
      <c r="H44" s="26"/>
    </row>
    <row r="45" spans="2:9">
      <c r="B45" s="25" t="s">
        <v>97</v>
      </c>
      <c r="C45" s="25" t="s">
        <v>98</v>
      </c>
      <c r="D45" s="25" t="s">
        <v>99</v>
      </c>
      <c r="E45" s="30">
        <v>38500000</v>
      </c>
      <c r="F45" s="26">
        <v>38390.199999999997</v>
      </c>
      <c r="G45" s="26">
        <v>8.18</v>
      </c>
      <c r="H45" s="26">
        <v>5.8</v>
      </c>
    </row>
    <row r="46" spans="2:9">
      <c r="B46" s="25" t="s">
        <v>100</v>
      </c>
      <c r="C46" s="25" t="s">
        <v>101</v>
      </c>
      <c r="D46" s="25" t="s">
        <v>99</v>
      </c>
      <c r="E46" s="30">
        <v>32500000</v>
      </c>
      <c r="F46" s="26">
        <v>32168.57</v>
      </c>
      <c r="G46" s="26">
        <v>6.86</v>
      </c>
      <c r="H46" s="26">
        <v>5.61</v>
      </c>
    </row>
    <row r="47" spans="2:9">
      <c r="B47" s="25" t="s">
        <v>102</v>
      </c>
      <c r="C47" s="25" t="s">
        <v>103</v>
      </c>
      <c r="D47" s="25" t="s">
        <v>99</v>
      </c>
      <c r="E47" s="30">
        <v>20000000</v>
      </c>
      <c r="F47" s="26">
        <v>19814.54</v>
      </c>
      <c r="G47" s="26">
        <v>4.22</v>
      </c>
      <c r="H47" s="26">
        <v>5.6</v>
      </c>
    </row>
    <row r="48" spans="2:9">
      <c r="B48" s="25" t="s">
        <v>104</v>
      </c>
      <c r="C48" s="25" t="s">
        <v>105</v>
      </c>
      <c r="D48" s="25" t="s">
        <v>99</v>
      </c>
      <c r="E48" s="30">
        <v>5000000</v>
      </c>
      <c r="F48" s="26">
        <v>4959.58</v>
      </c>
      <c r="G48" s="26">
        <v>1.06</v>
      </c>
      <c r="H48" s="26">
        <v>5.61</v>
      </c>
    </row>
    <row r="49" spans="2:9">
      <c r="B49" s="25" t="s">
        <v>106</v>
      </c>
      <c r="C49" s="25" t="s">
        <v>107</v>
      </c>
      <c r="D49" s="25" t="s">
        <v>99</v>
      </c>
      <c r="E49" s="30">
        <v>500000</v>
      </c>
      <c r="F49" s="26">
        <v>498.57</v>
      </c>
      <c r="G49" s="26">
        <v>0.11</v>
      </c>
      <c r="H49" s="26">
        <v>5.8</v>
      </c>
    </row>
    <row r="50" spans="2:9">
      <c r="B50" s="39" t="s">
        <v>31</v>
      </c>
      <c r="C50" s="39"/>
      <c r="D50" s="39"/>
      <c r="E50" s="39"/>
      <c r="F50" s="40">
        <f>SUM(F44:F49)</f>
        <v>95831.46</v>
      </c>
      <c r="G50" s="40">
        <f>SUM(G44:G49)</f>
        <v>20.429999999999996</v>
      </c>
      <c r="H50" s="41"/>
      <c r="I50" s="42"/>
    </row>
    <row r="51" spans="2:9">
      <c r="B51" s="43" t="s">
        <v>32</v>
      </c>
      <c r="C51" s="43"/>
      <c r="D51" s="43"/>
      <c r="E51" s="43"/>
      <c r="F51" s="44">
        <f>F23+F43+F50</f>
        <v>460348.49000000005</v>
      </c>
      <c r="G51" s="44">
        <f>G23+G43+G50</f>
        <v>98.100000000000009</v>
      </c>
      <c r="H51" s="44"/>
      <c r="I51" s="42"/>
    </row>
    <row r="52" spans="2:9">
      <c r="B52" s="24" t="s">
        <v>108</v>
      </c>
      <c r="C52" s="25"/>
      <c r="D52" s="25"/>
      <c r="E52" s="25"/>
      <c r="F52" s="26"/>
      <c r="G52" s="26"/>
      <c r="H52" s="26"/>
    </row>
    <row r="53" spans="2:9">
      <c r="B53" s="50" t="s">
        <v>109</v>
      </c>
      <c r="C53" s="50" t="s">
        <v>110</v>
      </c>
      <c r="D53" s="50" t="s">
        <v>108</v>
      </c>
      <c r="E53" s="51">
        <v>7952.2740000000003</v>
      </c>
      <c r="F53" s="52">
        <v>889.94</v>
      </c>
      <c r="G53" s="52">
        <v>0.19</v>
      </c>
      <c r="H53" s="52">
        <v>5.71</v>
      </c>
    </row>
    <row r="54" spans="2:9">
      <c r="B54" s="53" t="s">
        <v>32</v>
      </c>
      <c r="C54" s="53"/>
      <c r="D54" s="53"/>
      <c r="E54" s="53"/>
      <c r="F54" s="48">
        <f>SUM(F53:F53)</f>
        <v>889.94</v>
      </c>
      <c r="G54" s="48">
        <f>SUM(G53:G53)</f>
        <v>0.19</v>
      </c>
      <c r="H54" s="48"/>
      <c r="I54" s="42"/>
    </row>
    <row r="55" spans="2:9">
      <c r="B55" s="24" t="s">
        <v>111</v>
      </c>
      <c r="C55" s="25"/>
      <c r="D55" s="25"/>
      <c r="E55" s="25"/>
      <c r="F55" s="26"/>
      <c r="G55" s="26"/>
      <c r="H55" s="26"/>
    </row>
    <row r="56" spans="2:9">
      <c r="B56" s="25" t="s">
        <v>111</v>
      </c>
      <c r="C56" s="25"/>
      <c r="D56" s="25"/>
      <c r="E56" s="25"/>
      <c r="F56" s="26">
        <v>325.56</v>
      </c>
      <c r="G56" s="26">
        <v>7.0000000000000007E-2</v>
      </c>
      <c r="H56" s="26"/>
    </row>
    <row r="57" spans="2:9">
      <c r="B57" s="39" t="s">
        <v>31</v>
      </c>
      <c r="C57" s="39"/>
      <c r="D57" s="39"/>
      <c r="E57" s="39"/>
      <c r="F57" s="40">
        <f>SUM(F55:F56)</f>
        <v>325.56</v>
      </c>
      <c r="G57" s="40">
        <f>SUM(G55:G56)</f>
        <v>7.0000000000000007E-2</v>
      </c>
      <c r="H57" s="41"/>
      <c r="I57" s="42"/>
    </row>
    <row r="58" spans="2:9">
      <c r="B58" s="54" t="s">
        <v>32</v>
      </c>
      <c r="C58" s="54"/>
      <c r="D58" s="54"/>
      <c r="E58" s="54"/>
      <c r="F58" s="55">
        <f>F57</f>
        <v>325.56</v>
      </c>
      <c r="G58" s="55">
        <f>G57</f>
        <v>7.0000000000000007E-2</v>
      </c>
      <c r="H58" s="55"/>
      <c r="I58" s="42"/>
    </row>
    <row r="59" spans="2:9">
      <c r="B59" s="56" t="s">
        <v>112</v>
      </c>
      <c r="C59" s="56"/>
      <c r="D59" s="56"/>
      <c r="E59" s="56"/>
      <c r="F59" s="57">
        <f>F60-(+F11+F51+F54+F58)</f>
        <v>670.68999999994412</v>
      </c>
      <c r="G59" s="57">
        <f>G60-(+G11+G51+G54+G58)</f>
        <v>0.14000000000000057</v>
      </c>
      <c r="H59" s="57"/>
      <c r="I59" s="42"/>
    </row>
    <row r="60" spans="2:9">
      <c r="B60" s="56" t="s">
        <v>113</v>
      </c>
      <c r="C60" s="56"/>
      <c r="D60" s="56"/>
      <c r="E60" s="56"/>
      <c r="F60" s="57">
        <v>469239.29</v>
      </c>
      <c r="G60" s="57">
        <v>100</v>
      </c>
      <c r="H60" s="57"/>
      <c r="I60" s="42"/>
    </row>
    <row r="62" spans="2:9">
      <c r="B62" s="42" t="s">
        <v>114</v>
      </c>
    </row>
    <row r="63" spans="2:9">
      <c r="B63" s="42" t="s">
        <v>115</v>
      </c>
    </row>
    <row r="64" spans="2:9" ht="12" thickBot="1"/>
    <row r="65" spans="2:3" ht="12.5" thickTop="1" thickBot="1">
      <c r="B65" s="58" t="s">
        <v>116</v>
      </c>
      <c r="C65" s="59">
        <v>0.1225</v>
      </c>
    </row>
    <row r="66" spans="2:3" ht="12.5" thickTop="1" thickBot="1"/>
    <row r="67" spans="2:3" ht="12.5" thickTop="1" thickBot="1">
      <c r="B67" s="58" t="s">
        <v>117</v>
      </c>
      <c r="C67" s="60">
        <v>6.2399999999999997E-2</v>
      </c>
    </row>
    <row r="68" spans="2:3" ht="12.5" thickTop="1" thickBot="1"/>
    <row r="69" spans="2:3" ht="12.5" thickTop="1" thickBot="1">
      <c r="B69" s="58" t="s">
        <v>118</v>
      </c>
      <c r="C69" s="59">
        <v>0.13</v>
      </c>
    </row>
    <row r="70" spans="2:3" ht="12" thickTop="1"/>
  </sheetData>
  <mergeCells count="21">
    <mergeCell ref="O11:O12"/>
    <mergeCell ref="P11:P12"/>
    <mergeCell ref="Q11:Q12"/>
    <mergeCell ref="R11:R12"/>
    <mergeCell ref="P7:P8"/>
    <mergeCell ref="Q7:Q8"/>
    <mergeCell ref="R7:R8"/>
    <mergeCell ref="O9:O10"/>
    <mergeCell ref="P9:P10"/>
    <mergeCell ref="Q9:Q10"/>
    <mergeCell ref="R9:R10"/>
    <mergeCell ref="B1:H1"/>
    <mergeCell ref="O4:R4"/>
    <mergeCell ref="J5:J12"/>
    <mergeCell ref="K5:K12"/>
    <mergeCell ref="L5:L12"/>
    <mergeCell ref="M5:M12"/>
    <mergeCell ref="P5:P6"/>
    <mergeCell ref="Q5:Q6"/>
    <mergeCell ref="R5:R6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2025-06-09 11:30:12</KDate>
  <Classification>Public</Classification>
  <Subclassification/>
  <HostName>MUMCMP01346</HostName>
  <Domain_User>CANARAROBECOMF/396</Domain_User>
  <IPAdd>192.9.198.198</IPAdd>
  <FilePath>Book21</FilePath>
  <KID>1098191A8D7D638850654120351456</KID>
  <UniqueName/>
  <Suggested/>
  <Justification/>
</Klassify>
</file>

<file path=customXml/itemProps1.xml><?xml version="1.0" encoding="utf-8"?>
<ds:datastoreItem xmlns:ds="http://schemas.openxmlformats.org/officeDocument/2006/customXml" ds:itemID="{B42991DE-8D6E-4295-89C5-EDAEE0DD2BF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2025-06-09T06:00:02Z</dcterms:created>
  <dcterms:modified xsi:type="dcterms:W3CDTF">2025-06-09T06:00:12Z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1098191A8D7D638850654120351456</vt:lpwstr>
  </property>
</Properties>
</file>