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E93C6C58-4FE4-4CEC-9860-BBFF552FE4D0}" xr6:coauthVersionLast="47" xr6:coauthVersionMax="47" xr10:uidLastSave="{00000000-0000-0000-0000-000000000000}"/>
  <bookViews>
    <workbookView xWindow="-110" yWindow="-110" windowWidth="19420" windowHeight="10300" xr2:uid="{DBA4E81E-4C7E-4E18-A344-F642D428AE50}"/>
  </bookViews>
  <sheets>
    <sheet name="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G50" i="1" s="1"/>
  <c r="F49" i="1"/>
  <c r="F50" i="1" s="1"/>
  <c r="G46" i="1"/>
  <c r="F46" i="1"/>
  <c r="G43" i="1"/>
  <c r="F43" i="1"/>
  <c r="G33" i="1"/>
  <c r="F33" i="1"/>
  <c r="G30" i="1"/>
  <c r="F30" i="1"/>
  <c r="G27" i="1"/>
  <c r="G34" i="1" s="1"/>
  <c r="F27" i="1"/>
  <c r="F34" i="1" s="1"/>
  <c r="G21" i="1"/>
  <c r="G22" i="1" s="1"/>
  <c r="G51" i="1" s="1"/>
  <c r="F21" i="1"/>
  <c r="F22" i="1" s="1"/>
  <c r="F5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<sst xmlns="http://schemas.openxmlformats.org/spreadsheetml/2006/main" count="129" uniqueCount="100">
  <si>
    <t>CANARA ROBECO SHORT DURATION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</si>
  <si>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</si>
  <si>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</si>
  <si>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</si>
  <si>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</si>
  <si>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</si>
  <si>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</si>
  <si>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</si>
  <si>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</si>
  <si>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</si>
  <si>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</si>
  <si>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</si>
  <si>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</si>
  <si>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</si>
  <si>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</si>
  <si>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</si>
  <si>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</si>
  <si>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</si>
  <si>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</si>
  <si>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</si>
  <si>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</si>
  <si>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</si>
  <si>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</si>
  <si>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</si>
  <si>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</si>
  <si>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7.49% Small Industries Development Bank Of India (11/06/2029)</t>
  </si>
  <si>
    <t>INE556F08KX8</t>
  </si>
  <si>
    <t>7.45% Indian Railway Finance Corporation Ltd (13/10/2028) **</t>
  </si>
  <si>
    <t>INE053F08320</t>
  </si>
  <si>
    <t>Moderate 
(Class II)</t>
  </si>
  <si>
    <t>B-II</t>
  </si>
  <si>
    <t>7.48% National Bank For Agriculture &amp; Rural Development (15/09/2028)</t>
  </si>
  <si>
    <t>INE261F08EO7</t>
  </si>
  <si>
    <t>7.9265% LIC HOUSING FINANCE LTD 14-JUL-27 **</t>
  </si>
  <si>
    <t>INE115A07QS3</t>
  </si>
  <si>
    <t>Relatively High (Class III)</t>
  </si>
  <si>
    <t>8.2250%KOTAK MAHINDRA PRIME LTD21-APR-27 **</t>
  </si>
  <si>
    <t>INE916DA7SO7</t>
  </si>
  <si>
    <t>7.59% REC Ltd (31/05/2027) **</t>
  </si>
  <si>
    <t>INE020B08FA2</t>
  </si>
  <si>
    <t>Benchmark: CRISIL Short Duration Debt A-II Index</t>
  </si>
  <si>
    <t>7.50% Grasim industries Ltd (10/06/2027) **</t>
  </si>
  <si>
    <t>INE047A08190</t>
  </si>
  <si>
    <t>7.25% Export-Import Bank Of India (01/02/2027) **</t>
  </si>
  <si>
    <t>INE514E08FJ9</t>
  </si>
  <si>
    <t>7.9237% BAJAJ HOUSING FINANCE LTD 16-MAR-26 **</t>
  </si>
  <si>
    <t>INE377Y07375</t>
  </si>
  <si>
    <t>7.13% Power Finance Corporation Ltd (15/07/2026)</t>
  </si>
  <si>
    <t>INE134E08LP1</t>
  </si>
  <si>
    <t>7.95% Bajaj Finance Ltd (25/10/2027) **</t>
  </si>
  <si>
    <t>INE296A07SE7</t>
  </si>
  <si>
    <t>7.90% Bajaj Finance Ltd (17/11/2025) **</t>
  </si>
  <si>
    <t>INE296A07SF4</t>
  </si>
  <si>
    <t>8.04% HDB Financial Services Ltd (25/02/2026)</t>
  </si>
  <si>
    <t>INE756I07EL8</t>
  </si>
  <si>
    <t>Sub Total</t>
  </si>
  <si>
    <t>Total</t>
  </si>
  <si>
    <t>Money Market Instruments</t>
  </si>
  <si>
    <t>Certificate of Deposit</t>
  </si>
  <si>
    <t>Punjab National Bank (18/03/2026) ** #</t>
  </si>
  <si>
    <t>INE160A16RK5</t>
  </si>
  <si>
    <t>CARE A1+</t>
  </si>
  <si>
    <t>ICICI Bank Ltd (25/07/2025) #</t>
  </si>
  <si>
    <t>INE090AD6170</t>
  </si>
  <si>
    <t>ICRA A1+</t>
  </si>
  <si>
    <t>Commercial Paper</t>
  </si>
  <si>
    <t>LIC Housing Finance Ltd (18/03/2026) **</t>
  </si>
  <si>
    <t>INE115A14FL7</t>
  </si>
  <si>
    <t>CRISIL A1+</t>
  </si>
  <si>
    <t>Treasury Bill</t>
  </si>
  <si>
    <t>364 DTB (08-JAN-2026)</t>
  </si>
  <si>
    <t>IN002024Z396</t>
  </si>
  <si>
    <t xml:space="preserve"> Sovereign</t>
  </si>
  <si>
    <t>Government Bonds</t>
  </si>
  <si>
    <t>8.37% GOI (05/12/2028)</t>
  </si>
  <si>
    <t>IN3120180176</t>
  </si>
  <si>
    <t>Sovereign</t>
  </si>
  <si>
    <t>7.18% GOI 2037 (24-JUL-2037)</t>
  </si>
  <si>
    <t>IN0020230077</t>
  </si>
  <si>
    <t>7.10% GOI 2034 (08-APR-2034)</t>
  </si>
  <si>
    <t>IN0020240019</t>
  </si>
  <si>
    <t>7.32% GOI 2073 (13-NOV-2030)</t>
  </si>
  <si>
    <t>IN0020230135</t>
  </si>
  <si>
    <t>6.92% GOI 2039 (18-NOV-2039)</t>
  </si>
  <si>
    <t>IN0020240134</t>
  </si>
  <si>
    <t>6.79% GOI 2034 (07-OCT-2034)</t>
  </si>
  <si>
    <t>IN0020240126</t>
  </si>
  <si>
    <t>7.86% Karnataka SDL 15-Mar-27</t>
  </si>
  <si>
    <t>IN1920160117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</si>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</sst>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164" fontId="3" fillId="3" borderId="10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3" fillId="3" borderId="13" xfId="1" applyFont="1" applyFill="1" applyBorder="1" applyAlignment="1">
      <alignment horizontal="center" vertical="center"/>
    </xf>
    <xf numFmtId="164" fontId="3" fillId="3" borderId="0" xfId="1" applyFont="1" applyFill="1" applyAlignment="1"/>
    <xf numFmtId="164" fontId="3" fillId="3" borderId="0" xfId="1" applyFont="1" applyFill="1"/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F07E-E93D-434C-A08C-95031794737B}">
  <dimension ref="B1:R62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8.26953125" style="3" bestFit="1" customWidth="1"/>
    <col min="3" max="3" width="13.7265625" style="3" bestFit="1" customWidth="1"/>
    <col min="4" max="4" width="22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2.7265625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3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3"/>
      <c r="Q6" s="23"/>
      <c r="R6" s="23"/>
    </row>
    <row r="7" spans="2:18">
      <c r="B7" s="25" t="s">
        <v>21</v>
      </c>
      <c r="C7" s="25" t="s">
        <v>22</v>
      </c>
      <c r="D7" s="25" t="s">
        <v>23</v>
      </c>
      <c r="E7" s="29">
        <v>250</v>
      </c>
      <c r="F7" s="26">
        <v>2621.12</v>
      </c>
      <c r="G7" s="26">
        <v>5.76</v>
      </c>
      <c r="H7" s="26">
        <v>6.84</v>
      </c>
      <c r="J7" s="27"/>
      <c r="K7" s="21"/>
      <c r="L7" s="27"/>
      <c r="M7" s="21"/>
      <c r="O7" s="30" t="s">
        <v>24</v>
      </c>
      <c r="P7" s="31"/>
      <c r="Q7" s="31"/>
      <c r="R7" s="31"/>
    </row>
    <row r="8" spans="2:18">
      <c r="B8" s="25" t="s">
        <v>25</v>
      </c>
      <c r="C8" s="25" t="s">
        <v>26</v>
      </c>
      <c r="D8" s="25" t="s">
        <v>23</v>
      </c>
      <c r="E8" s="29">
        <v>2500</v>
      </c>
      <c r="F8" s="26">
        <v>2572.1999999999998</v>
      </c>
      <c r="G8" s="26">
        <v>5.65</v>
      </c>
      <c r="H8" s="26">
        <v>6.65</v>
      </c>
      <c r="J8" s="27"/>
      <c r="K8" s="21"/>
      <c r="L8" s="27"/>
      <c r="M8" s="21"/>
      <c r="O8" s="30"/>
      <c r="P8" s="32"/>
      <c r="Q8" s="32"/>
      <c r="R8" s="32"/>
    </row>
    <row r="9" spans="2:18">
      <c r="B9" s="25" t="s">
        <v>27</v>
      </c>
      <c r="C9" s="25" t="s">
        <v>28</v>
      </c>
      <c r="D9" s="25" t="s">
        <v>23</v>
      </c>
      <c r="E9" s="29">
        <v>2500</v>
      </c>
      <c r="F9" s="26">
        <v>2570.35</v>
      </c>
      <c r="G9" s="26">
        <v>5.64</v>
      </c>
      <c r="H9" s="26">
        <v>6.5</v>
      </c>
      <c r="J9" s="27"/>
      <c r="K9" s="21"/>
      <c r="L9" s="27"/>
      <c r="M9" s="21"/>
      <c r="O9" s="30" t="s">
        <v>29</v>
      </c>
      <c r="P9" s="31"/>
      <c r="Q9" s="33" t="s">
        <v>30</v>
      </c>
      <c r="R9" s="31"/>
    </row>
    <row r="10" spans="2:18">
      <c r="B10" s="25" t="s">
        <v>31</v>
      </c>
      <c r="C10" s="25" t="s">
        <v>32</v>
      </c>
      <c r="D10" s="25" t="s">
        <v>23</v>
      </c>
      <c r="E10" s="29">
        <v>2500</v>
      </c>
      <c r="F10" s="26">
        <v>2563.94</v>
      </c>
      <c r="G10" s="26">
        <v>5.63</v>
      </c>
      <c r="H10" s="26">
        <v>6.6</v>
      </c>
      <c r="J10" s="27"/>
      <c r="K10" s="21"/>
      <c r="L10" s="27"/>
      <c r="M10" s="21"/>
      <c r="O10" s="30"/>
      <c r="P10" s="32"/>
      <c r="Q10" s="34"/>
      <c r="R10" s="32"/>
    </row>
    <row r="11" spans="2:18">
      <c r="B11" s="25" t="s">
        <v>33</v>
      </c>
      <c r="C11" s="25" t="s">
        <v>34</v>
      </c>
      <c r="D11" s="25" t="s">
        <v>23</v>
      </c>
      <c r="E11" s="29">
        <v>2500</v>
      </c>
      <c r="F11" s="26">
        <v>2550.9899999999998</v>
      </c>
      <c r="G11" s="26">
        <v>5.6</v>
      </c>
      <c r="H11" s="26">
        <v>6.85</v>
      </c>
      <c r="J11" s="27"/>
      <c r="K11" s="21"/>
      <c r="L11" s="27"/>
      <c r="M11" s="21"/>
      <c r="O11" s="30" t="s">
        <v>35</v>
      </c>
      <c r="P11" s="31"/>
      <c r="Q11" s="31"/>
      <c r="R11" s="31"/>
    </row>
    <row r="12" spans="2:18">
      <c r="B12" s="25" t="s">
        <v>36</v>
      </c>
      <c r="C12" s="25" t="s">
        <v>37</v>
      </c>
      <c r="D12" s="25" t="s">
        <v>23</v>
      </c>
      <c r="E12" s="29">
        <v>2500</v>
      </c>
      <c r="F12" s="26">
        <v>2550.54</v>
      </c>
      <c r="G12" s="26">
        <v>5.6</v>
      </c>
      <c r="H12" s="26">
        <v>7.03</v>
      </c>
      <c r="J12" s="35"/>
      <c r="K12" s="21"/>
      <c r="L12" s="35"/>
      <c r="M12" s="21"/>
      <c r="O12" s="30"/>
      <c r="P12" s="32"/>
      <c r="Q12" s="32"/>
      <c r="R12" s="32"/>
    </row>
    <row r="13" spans="2:18">
      <c r="B13" s="25" t="s">
        <v>38</v>
      </c>
      <c r="C13" s="25" t="s">
        <v>39</v>
      </c>
      <c r="D13" s="25" t="s">
        <v>23</v>
      </c>
      <c r="E13" s="29">
        <v>2500</v>
      </c>
      <c r="F13" s="26">
        <v>2548.61</v>
      </c>
      <c r="G13" s="26">
        <v>5.6</v>
      </c>
      <c r="H13" s="26">
        <v>6.52</v>
      </c>
      <c r="J13" s="36"/>
      <c r="K13" s="36" t="s">
        <v>40</v>
      </c>
      <c r="L13" s="37"/>
      <c r="M13" s="37"/>
    </row>
    <row r="14" spans="2:18">
      <c r="B14" s="25" t="s">
        <v>41</v>
      </c>
      <c r="C14" s="25" t="s">
        <v>42</v>
      </c>
      <c r="D14" s="25" t="s">
        <v>23</v>
      </c>
      <c r="E14" s="29">
        <v>250</v>
      </c>
      <c r="F14" s="26">
        <v>2547.3000000000002</v>
      </c>
      <c r="G14" s="26">
        <v>5.59</v>
      </c>
      <c r="H14" s="26">
        <v>6.47</v>
      </c>
    </row>
    <row r="15" spans="2:18">
      <c r="B15" s="25" t="s">
        <v>43</v>
      </c>
      <c r="C15" s="25" t="s">
        <v>44</v>
      </c>
      <c r="D15" s="25" t="s">
        <v>23</v>
      </c>
      <c r="E15" s="29">
        <v>250</v>
      </c>
      <c r="F15" s="26">
        <v>2530.2199999999998</v>
      </c>
      <c r="G15" s="26">
        <v>5.56</v>
      </c>
      <c r="H15" s="26">
        <v>6.43</v>
      </c>
    </row>
    <row r="16" spans="2:18">
      <c r="B16" s="25" t="s">
        <v>45</v>
      </c>
      <c r="C16" s="25" t="s">
        <v>46</v>
      </c>
      <c r="D16" s="25" t="s">
        <v>23</v>
      </c>
      <c r="E16" s="29">
        <v>250</v>
      </c>
      <c r="F16" s="26">
        <v>2519.65</v>
      </c>
      <c r="G16" s="26">
        <v>5.53</v>
      </c>
      <c r="H16" s="26">
        <v>6.76</v>
      </c>
    </row>
    <row r="17" spans="2:9">
      <c r="B17" s="25" t="s">
        <v>47</v>
      </c>
      <c r="C17" s="25" t="s">
        <v>48</v>
      </c>
      <c r="D17" s="25" t="s">
        <v>23</v>
      </c>
      <c r="E17" s="29">
        <v>250</v>
      </c>
      <c r="F17" s="26">
        <v>2514.6999999999998</v>
      </c>
      <c r="G17" s="26">
        <v>5.52</v>
      </c>
      <c r="H17" s="26">
        <v>6.55</v>
      </c>
    </row>
    <row r="18" spans="2:9">
      <c r="B18" s="25" t="s">
        <v>49</v>
      </c>
      <c r="C18" s="25" t="s">
        <v>50</v>
      </c>
      <c r="D18" s="25" t="s">
        <v>23</v>
      </c>
      <c r="E18" s="29">
        <v>100</v>
      </c>
      <c r="F18" s="26">
        <v>1018.17</v>
      </c>
      <c r="G18" s="26">
        <v>2.2400000000000002</v>
      </c>
      <c r="H18" s="26">
        <v>7.07</v>
      </c>
    </row>
    <row r="19" spans="2:9">
      <c r="B19" s="25" t="s">
        <v>51</v>
      </c>
      <c r="C19" s="25" t="s">
        <v>52</v>
      </c>
      <c r="D19" s="25" t="s">
        <v>23</v>
      </c>
      <c r="E19" s="29">
        <v>50</v>
      </c>
      <c r="F19" s="26">
        <v>501.53</v>
      </c>
      <c r="G19" s="26">
        <v>1.1000000000000001</v>
      </c>
      <c r="H19" s="26">
        <v>6.93</v>
      </c>
    </row>
    <row r="20" spans="2:9">
      <c r="B20" s="25" t="s">
        <v>53</v>
      </c>
      <c r="C20" s="25" t="s">
        <v>54</v>
      </c>
      <c r="D20" s="25" t="s">
        <v>23</v>
      </c>
      <c r="E20" s="29">
        <v>20</v>
      </c>
      <c r="F20" s="26">
        <v>201.03</v>
      </c>
      <c r="G20" s="26">
        <v>0.44</v>
      </c>
      <c r="H20" s="26">
        <v>7.15</v>
      </c>
    </row>
    <row r="21" spans="2:9">
      <c r="B21" s="38" t="s">
        <v>55</v>
      </c>
      <c r="C21" s="38"/>
      <c r="D21" s="38"/>
      <c r="E21" s="38"/>
      <c r="F21" s="39">
        <f>SUM(F6:F20)</f>
        <v>29810.35</v>
      </c>
      <c r="G21" s="39">
        <f>SUM(G6:G20)</f>
        <v>65.460000000000008</v>
      </c>
      <c r="H21" s="40"/>
      <c r="I21" s="41"/>
    </row>
    <row r="22" spans="2:9">
      <c r="B22" s="42" t="s">
        <v>56</v>
      </c>
      <c r="C22" s="42"/>
      <c r="D22" s="42"/>
      <c r="E22" s="42"/>
      <c r="F22" s="43">
        <f>F21</f>
        <v>29810.35</v>
      </c>
      <c r="G22" s="43">
        <f>G21</f>
        <v>65.460000000000008</v>
      </c>
      <c r="H22" s="43"/>
      <c r="I22" s="41"/>
    </row>
    <row r="23" spans="2:9">
      <c r="B23" s="24" t="s">
        <v>57</v>
      </c>
      <c r="C23" s="25"/>
      <c r="D23" s="25"/>
      <c r="E23" s="25"/>
      <c r="F23" s="26"/>
      <c r="G23" s="26"/>
      <c r="H23" s="26"/>
    </row>
    <row r="24" spans="2:9">
      <c r="B24" s="24" t="s">
        <v>58</v>
      </c>
      <c r="C24" s="25"/>
      <c r="D24" s="25"/>
      <c r="E24" s="25"/>
      <c r="F24" s="26"/>
      <c r="G24" s="26"/>
      <c r="H24" s="26"/>
    </row>
    <row r="25" spans="2:9">
      <c r="B25" s="25" t="s">
        <v>59</v>
      </c>
      <c r="C25" s="25" t="s">
        <v>60</v>
      </c>
      <c r="D25" s="25" t="s">
        <v>61</v>
      </c>
      <c r="E25" s="29">
        <v>300</v>
      </c>
      <c r="F25" s="26">
        <v>1427.42</v>
      </c>
      <c r="G25" s="26">
        <v>3.13</v>
      </c>
      <c r="H25" s="26">
        <v>6.4</v>
      </c>
    </row>
    <row r="26" spans="2:9">
      <c r="B26" s="25" t="s">
        <v>62</v>
      </c>
      <c r="C26" s="25" t="s">
        <v>63</v>
      </c>
      <c r="D26" s="25" t="s">
        <v>64</v>
      </c>
      <c r="E26" s="29">
        <v>200</v>
      </c>
      <c r="F26" s="26">
        <v>990.9</v>
      </c>
      <c r="G26" s="26">
        <v>2.1800000000000002</v>
      </c>
      <c r="H26" s="26">
        <v>6.21</v>
      </c>
    </row>
    <row r="27" spans="2:9">
      <c r="B27" s="24" t="s">
        <v>55</v>
      </c>
      <c r="C27" s="24"/>
      <c r="D27" s="24"/>
      <c r="E27" s="24"/>
      <c r="F27" s="44">
        <f>SUM(F24:F26)</f>
        <v>2418.3200000000002</v>
      </c>
      <c r="G27" s="44">
        <f>SUM(G24:G26)</f>
        <v>5.3100000000000005</v>
      </c>
      <c r="H27" s="45"/>
      <c r="I27" s="41"/>
    </row>
    <row r="28" spans="2:9">
      <c r="B28" s="24" t="s">
        <v>65</v>
      </c>
      <c r="C28" s="25"/>
      <c r="D28" s="25"/>
      <c r="E28" s="25"/>
      <c r="F28" s="26"/>
      <c r="G28" s="26"/>
      <c r="H28" s="26"/>
    </row>
    <row r="29" spans="2:9">
      <c r="B29" s="25" t="s">
        <v>66</v>
      </c>
      <c r="C29" s="25" t="s">
        <v>67</v>
      </c>
      <c r="D29" s="25" t="s">
        <v>68</v>
      </c>
      <c r="E29" s="29">
        <v>100</v>
      </c>
      <c r="F29" s="26">
        <v>475.28</v>
      </c>
      <c r="G29" s="26">
        <v>1.04</v>
      </c>
      <c r="H29" s="26">
        <v>6.55</v>
      </c>
    </row>
    <row r="30" spans="2:9">
      <c r="B30" s="24" t="s">
        <v>55</v>
      </c>
      <c r="C30" s="24"/>
      <c r="D30" s="24"/>
      <c r="E30" s="24"/>
      <c r="F30" s="44">
        <f>SUM(F28:F29)</f>
        <v>475.28</v>
      </c>
      <c r="G30" s="44">
        <f>SUM(G28:G29)</f>
        <v>1.04</v>
      </c>
      <c r="H30" s="45"/>
      <c r="I30" s="41"/>
    </row>
    <row r="31" spans="2:9">
      <c r="B31" s="24" t="s">
        <v>69</v>
      </c>
      <c r="C31" s="25"/>
      <c r="D31" s="25"/>
      <c r="E31" s="25"/>
      <c r="F31" s="26"/>
      <c r="G31" s="26"/>
      <c r="H31" s="26"/>
    </row>
    <row r="32" spans="2:9">
      <c r="B32" s="25" t="s">
        <v>70</v>
      </c>
      <c r="C32" s="25" t="s">
        <v>71</v>
      </c>
      <c r="D32" s="25" t="s">
        <v>72</v>
      </c>
      <c r="E32" s="29">
        <v>200000</v>
      </c>
      <c r="F32" s="26">
        <v>193.44</v>
      </c>
      <c r="G32" s="26">
        <v>0.42</v>
      </c>
      <c r="H32" s="26">
        <v>5.6</v>
      </c>
    </row>
    <row r="33" spans="2:9">
      <c r="B33" s="38" t="s">
        <v>55</v>
      </c>
      <c r="C33" s="38"/>
      <c r="D33" s="38"/>
      <c r="E33" s="38"/>
      <c r="F33" s="39">
        <f>SUM(F31:F32)</f>
        <v>193.44</v>
      </c>
      <c r="G33" s="39">
        <f>SUM(G31:G32)</f>
        <v>0.42</v>
      </c>
      <c r="H33" s="40"/>
      <c r="I33" s="41"/>
    </row>
    <row r="34" spans="2:9">
      <c r="B34" s="42" t="s">
        <v>56</v>
      </c>
      <c r="C34" s="42"/>
      <c r="D34" s="42"/>
      <c r="E34" s="42"/>
      <c r="F34" s="43">
        <f>F27+F30+F33</f>
        <v>3087.0400000000004</v>
      </c>
      <c r="G34" s="43">
        <f>G27+G30+G33</f>
        <v>6.7700000000000005</v>
      </c>
      <c r="H34" s="43"/>
      <c r="I34" s="41"/>
    </row>
    <row r="35" spans="2:9">
      <c r="B35" s="24" t="s">
        <v>73</v>
      </c>
      <c r="C35" s="25"/>
      <c r="D35" s="25"/>
      <c r="E35" s="25"/>
      <c r="F35" s="26"/>
      <c r="G35" s="26"/>
      <c r="H35" s="26"/>
    </row>
    <row r="36" spans="2:9">
      <c r="B36" s="25" t="s">
        <v>74</v>
      </c>
      <c r="C36" s="25" t="s">
        <v>75</v>
      </c>
      <c r="D36" s="25" t="s">
        <v>76</v>
      </c>
      <c r="E36" s="29">
        <v>2500000</v>
      </c>
      <c r="F36" s="26">
        <v>2679.77</v>
      </c>
      <c r="G36" s="26">
        <v>5.88</v>
      </c>
      <c r="H36" s="26">
        <v>6.16</v>
      </c>
    </row>
    <row r="37" spans="2:9">
      <c r="B37" s="25" t="s">
        <v>77</v>
      </c>
      <c r="C37" s="25" t="s">
        <v>78</v>
      </c>
      <c r="D37" s="25" t="s">
        <v>76</v>
      </c>
      <c r="E37" s="29">
        <v>2000000</v>
      </c>
      <c r="F37" s="26">
        <v>2130.0700000000002</v>
      </c>
      <c r="G37" s="26">
        <v>4.68</v>
      </c>
      <c r="H37" s="26">
        <v>6.5</v>
      </c>
    </row>
    <row r="38" spans="2:9">
      <c r="B38" s="25" t="s">
        <v>79</v>
      </c>
      <c r="C38" s="25" t="s">
        <v>80</v>
      </c>
      <c r="D38" s="25" t="s">
        <v>76</v>
      </c>
      <c r="E38" s="29">
        <v>2000000</v>
      </c>
      <c r="F38" s="26">
        <v>2108.36</v>
      </c>
      <c r="G38" s="26">
        <v>4.63</v>
      </c>
      <c r="H38" s="26">
        <v>6.39</v>
      </c>
    </row>
    <row r="39" spans="2:9">
      <c r="B39" s="25" t="s">
        <v>81</v>
      </c>
      <c r="C39" s="25" t="s">
        <v>82</v>
      </c>
      <c r="D39" s="25" t="s">
        <v>76</v>
      </c>
      <c r="E39" s="29">
        <v>1500000</v>
      </c>
      <c r="F39" s="26">
        <v>1595</v>
      </c>
      <c r="G39" s="26">
        <v>3.5</v>
      </c>
      <c r="H39" s="26">
        <v>6.03</v>
      </c>
    </row>
    <row r="40" spans="2:9">
      <c r="B40" s="25" t="s">
        <v>83</v>
      </c>
      <c r="C40" s="25" t="s">
        <v>84</v>
      </c>
      <c r="D40" s="25" t="s">
        <v>76</v>
      </c>
      <c r="E40" s="29">
        <v>1000000</v>
      </c>
      <c r="F40" s="26">
        <v>1047.07</v>
      </c>
      <c r="G40" s="26">
        <v>2.2999999999999998</v>
      </c>
      <c r="H40" s="26">
        <v>6.52</v>
      </c>
    </row>
    <row r="41" spans="2:9">
      <c r="B41" s="25" t="s">
        <v>85</v>
      </c>
      <c r="C41" s="25" t="s">
        <v>86</v>
      </c>
      <c r="D41" s="25" t="s">
        <v>76</v>
      </c>
      <c r="E41" s="29">
        <v>1000000</v>
      </c>
      <c r="F41" s="26">
        <v>1035.93</v>
      </c>
      <c r="G41" s="26">
        <v>2.27</v>
      </c>
      <c r="H41" s="26">
        <v>6.37</v>
      </c>
    </row>
    <row r="42" spans="2:9">
      <c r="B42" s="46" t="s">
        <v>87</v>
      </c>
      <c r="C42" s="46" t="s">
        <v>88</v>
      </c>
      <c r="D42" s="46" t="s">
        <v>76</v>
      </c>
      <c r="E42" s="47">
        <v>28300</v>
      </c>
      <c r="F42" s="48">
        <v>29.2</v>
      </c>
      <c r="G42" s="48">
        <v>0.06</v>
      </c>
      <c r="H42" s="48">
        <v>6.04</v>
      </c>
    </row>
    <row r="43" spans="2:9">
      <c r="B43" s="49" t="s">
        <v>56</v>
      </c>
      <c r="C43" s="49"/>
      <c r="D43" s="49"/>
      <c r="E43" s="49"/>
      <c r="F43" s="44">
        <f>SUM(F36:F42)</f>
        <v>10625.400000000001</v>
      </c>
      <c r="G43" s="44">
        <f>SUM(G36:G42)</f>
        <v>23.319999999999997</v>
      </c>
      <c r="H43" s="44"/>
      <c r="I43" s="41"/>
    </row>
    <row r="44" spans="2:9">
      <c r="B44" s="24" t="s">
        <v>89</v>
      </c>
      <c r="C44" s="25"/>
      <c r="D44" s="25"/>
      <c r="E44" s="25"/>
      <c r="F44" s="26"/>
      <c r="G44" s="26"/>
      <c r="H44" s="26"/>
    </row>
    <row r="45" spans="2:9">
      <c r="B45" s="46" t="s">
        <v>90</v>
      </c>
      <c r="C45" s="46" t="s">
        <v>91</v>
      </c>
      <c r="D45" s="46" t="s">
        <v>89</v>
      </c>
      <c r="E45" s="47">
        <v>1373.231</v>
      </c>
      <c r="F45" s="48">
        <v>153.68</v>
      </c>
      <c r="G45" s="48">
        <v>0.34</v>
      </c>
      <c r="H45" s="48">
        <v>5.71</v>
      </c>
    </row>
    <row r="46" spans="2:9">
      <c r="B46" s="49" t="s">
        <v>56</v>
      </c>
      <c r="C46" s="49"/>
      <c r="D46" s="49"/>
      <c r="E46" s="49"/>
      <c r="F46" s="44">
        <f>SUM(F45:F45)</f>
        <v>153.68</v>
      </c>
      <c r="G46" s="44">
        <f>SUM(G45:G45)</f>
        <v>0.34</v>
      </c>
      <c r="H46" s="44"/>
      <c r="I46" s="41"/>
    </row>
    <row r="47" spans="2:9">
      <c r="B47" s="24" t="s">
        <v>92</v>
      </c>
      <c r="C47" s="25"/>
      <c r="D47" s="25"/>
      <c r="E47" s="25"/>
      <c r="F47" s="26"/>
      <c r="G47" s="26"/>
      <c r="H47" s="26"/>
    </row>
    <row r="48" spans="2:9">
      <c r="B48" s="25" t="s">
        <v>92</v>
      </c>
      <c r="C48" s="25"/>
      <c r="D48" s="25"/>
      <c r="E48" s="25"/>
      <c r="F48" s="26">
        <v>458.49</v>
      </c>
      <c r="G48" s="26">
        <v>1.01</v>
      </c>
      <c r="H48" s="26"/>
    </row>
    <row r="49" spans="2:9">
      <c r="B49" s="38" t="s">
        <v>55</v>
      </c>
      <c r="C49" s="38"/>
      <c r="D49" s="38"/>
      <c r="E49" s="38"/>
      <c r="F49" s="39">
        <f>SUM(F47:F48)</f>
        <v>458.49</v>
      </c>
      <c r="G49" s="39">
        <f>SUM(G47:G48)</f>
        <v>1.01</v>
      </c>
      <c r="H49" s="40"/>
      <c r="I49" s="41"/>
    </row>
    <row r="50" spans="2:9">
      <c r="B50" s="50" t="s">
        <v>56</v>
      </c>
      <c r="C50" s="50"/>
      <c r="D50" s="50"/>
      <c r="E50" s="50"/>
      <c r="F50" s="51">
        <f>F49</f>
        <v>458.49</v>
      </c>
      <c r="G50" s="51">
        <f>G49</f>
        <v>1.01</v>
      </c>
      <c r="H50" s="51"/>
      <c r="I50" s="41"/>
    </row>
    <row r="51" spans="2:9">
      <c r="B51" s="52" t="s">
        <v>93</v>
      </c>
      <c r="C51" s="52"/>
      <c r="D51" s="52"/>
      <c r="E51" s="52"/>
      <c r="F51" s="53">
        <f>F52-(+F22+F34+F43+F46+F50)</f>
        <v>1406.8300000000017</v>
      </c>
      <c r="G51" s="53">
        <f>G52-(+G22+G34+G43+G46+G50)</f>
        <v>3.0999999999999943</v>
      </c>
      <c r="H51" s="53"/>
      <c r="I51" s="41"/>
    </row>
    <row r="52" spans="2:9">
      <c r="B52" s="52" t="s">
        <v>94</v>
      </c>
      <c r="C52" s="52"/>
      <c r="D52" s="52"/>
      <c r="E52" s="52"/>
      <c r="F52" s="53">
        <v>45541.79</v>
      </c>
      <c r="G52" s="53">
        <v>100</v>
      </c>
      <c r="H52" s="53"/>
      <c r="I52" s="41"/>
    </row>
    <row r="54" spans="2:9">
      <c r="B54" s="41" t="s">
        <v>95</v>
      </c>
    </row>
    <row r="55" spans="2:9">
      <c r="B55" s="41" t="s">
        <v>96</v>
      </c>
    </row>
    <row r="56" spans="2:9" ht="12" thickBot="1"/>
    <row r="57" spans="2:9" ht="12.5" thickTop="1" thickBot="1">
      <c r="B57" s="54" t="s">
        <v>97</v>
      </c>
      <c r="C57" s="55">
        <v>2.7486999999999999</v>
      </c>
    </row>
    <row r="58" spans="2:9" ht="12.5" thickTop="1" thickBot="1"/>
    <row r="59" spans="2:9" ht="12.5" thickTop="1" thickBot="1">
      <c r="B59" s="54" t="s">
        <v>98</v>
      </c>
      <c r="C59" s="56">
        <v>6.5299999999999997E-2</v>
      </c>
    </row>
    <row r="60" spans="2:9" ht="12.5" thickTop="1" thickBot="1"/>
    <row r="61" spans="2:9" ht="12.5" thickTop="1" thickBot="1">
      <c r="B61" s="54" t="s">
        <v>99</v>
      </c>
      <c r="C61" s="55">
        <v>2.9043000000000001</v>
      </c>
    </row>
    <row r="62" spans="2:9" ht="12" thickTop="1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11:30:47</KDate>
  <Classification>Public</Classification>
  <Subclassification/>
  <HostName>MUMCMP01346</HostName>
  <Domain_User>CANARAROBECOMF/396</Domain_User>
  <IPAdd>192.9.198.198</IPAdd>
  <FilePath>Book24</FilePath>
  <KID>1098191A8D7D638850654473760009</KID>
  <UniqueName/>
  <Suggested/>
  <Justification/>
</Klassify>
</file>

<file path=customXml/itemProps1.xml><?xml version="1.0" encoding="utf-8"?>
<ds:datastoreItem xmlns:ds="http://schemas.openxmlformats.org/officeDocument/2006/customXml" ds:itemID="{98E85F13-849B-44DD-B600-A19437070A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2025-06-09T06:00:40Z</dcterms:created>
  <dcterms:modified xsi:type="dcterms:W3CDTF">2025-06-09T06:00:47Z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1098191A8D7D638850654473760009</vt:lpwstr>
  </property>
</Properties>
</file>