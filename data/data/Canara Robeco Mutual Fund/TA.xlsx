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F9992B92-2CE4-4389-BAC2-F19A0B26059A}" xr6:coauthVersionLast="47" xr6:coauthVersionMax="47" xr10:uidLastSave="{00000000-0000-0000-0000-000000000000}"/>
  <bookViews>
    <workbookView xWindow="-110" yWindow="-110" windowWidth="19420" windowHeight="10300" xr2:uid="{A19325A2-2EC0-4B72-B75F-05D30B5EC1D5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G44" i="1" s="1"/>
  <c r="F43" i="1"/>
  <c r="F44" i="1" s="1"/>
  <c r="G40" i="1"/>
  <c r="F40" i="1"/>
  <c r="G37" i="1"/>
  <c r="F37" i="1"/>
  <c r="G34" i="1"/>
  <c r="G33" i="1"/>
  <c r="F33" i="1"/>
  <c r="G30" i="1"/>
  <c r="F30" i="1"/>
  <c r="G25" i="1"/>
  <c r="F25" i="1"/>
  <c r="F34" i="1" s="1"/>
  <c r="G11" i="1"/>
  <c r="G12" i="1" s="1"/>
  <c r="G45" i="1" s="1"/>
  <c r="F11" i="1"/>
  <c r="F12" i="1" s="1"/>
  <c r="F4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<sst xmlns="http://schemas.openxmlformats.org/spreadsheetml/2006/main" count="111" uniqueCount="89">
  <si>
    <t>CANARA ROBECO ULTRA SHORT TERM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</si>
  <si>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</si>
  <si>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</si>
  <si>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</si>
  <si>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</si>
  <si>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</si>
  <si>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</si>
  <si>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</si>
  <si>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</si>
  <si>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</si>
  <si>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</si>
  <si>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</si>
  <si>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</si>
  <si>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</si>
  <si>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</si>
  <si>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</si>
  <si>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</si>
  <si>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</si>
  <si>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</si>
  <si>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</si>
  <si>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</si>
  <si>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7.9237% BAJAJ HOUSING FINANCE LTD 16-MAR-26 **</t>
  </si>
  <si>
    <t>INE377Y07375</t>
  </si>
  <si>
    <t>CRISIL AAA</t>
  </si>
  <si>
    <t>Relatively Low (Class I)</t>
  </si>
  <si>
    <t>B-I</t>
  </si>
  <si>
    <t>7.83% Bajaj Housing Finance Ltd (12/12/2025) **</t>
  </si>
  <si>
    <t>INE377Y07391</t>
  </si>
  <si>
    <t>7.92% Kotak Mahindra Prime Ltd (20/11/2025) **</t>
  </si>
  <si>
    <t>INE916DA7SD0</t>
  </si>
  <si>
    <t>Moderate 
(Class II)</t>
  </si>
  <si>
    <t>8.04% HDB Financial Services Ltd (25/02/2026)</t>
  </si>
  <si>
    <t>INE756I07EL8</t>
  </si>
  <si>
    <t>Sub Total</t>
  </si>
  <si>
    <t>Relatively High (Class III)</t>
  </si>
  <si>
    <t>Total</t>
  </si>
  <si>
    <t>Money Market Instruments</t>
  </si>
  <si>
    <t>Benchmark: CRISIL Ultra Short Duration Debt A-I Index</t>
  </si>
  <si>
    <t>Certificate of Deposit</t>
  </si>
  <si>
    <t>Small Industries Development Bank of India (05/12/2025) #</t>
  </si>
  <si>
    <t>INE556F16AX2</t>
  </si>
  <si>
    <t>CARE A1+</t>
  </si>
  <si>
    <t>Kotak Mahindra Bank Ltd (11/12/2025) #</t>
  </si>
  <si>
    <t>INE237A160Z6</t>
  </si>
  <si>
    <t>CRISIL A1+</t>
  </si>
  <si>
    <t>ICICI Bank Ltd (27/06/2025) #</t>
  </si>
  <si>
    <t>INE090AD6162</t>
  </si>
  <si>
    <t>Axis Bank Ltd (05/09/2025) #</t>
  </si>
  <si>
    <t>INE238AD6892</t>
  </si>
  <si>
    <t>HDFC Bank Ltd (15/09/2025) ** #</t>
  </si>
  <si>
    <t>INE040A16FN8</t>
  </si>
  <si>
    <t>ICICI Bank Ltd (14/11/2025) #</t>
  </si>
  <si>
    <t>INE090AD6204</t>
  </si>
  <si>
    <t>ICRA A1+</t>
  </si>
  <si>
    <t>Union Bank of India (10/12/2025) ** #</t>
  </si>
  <si>
    <t>INE692A16IF6</t>
  </si>
  <si>
    <t>IND A1+</t>
  </si>
  <si>
    <t>Axis Bank Ltd (04/03/2026) ** #</t>
  </si>
  <si>
    <t>INE238AD6AN0</t>
  </si>
  <si>
    <t>Indian Bank (12/03/2026) ** #</t>
  </si>
  <si>
    <t>INE562A16OI3</t>
  </si>
  <si>
    <t>HDFC Bank Ltd (12/03/2026) ** #</t>
  </si>
  <si>
    <t>INE040A16GN6</t>
  </si>
  <si>
    <t>Commercial Paper</t>
  </si>
  <si>
    <t>Aditya Birla Capital Ltd (17/09/2025) **</t>
  </si>
  <si>
    <t>INE860H144D4</t>
  </si>
  <si>
    <t>Export-Import Bank Of India (17/11/2025) **</t>
  </si>
  <si>
    <t>INE514E14SJ0</t>
  </si>
  <si>
    <t>LIC Housing Finance Ltd (18/03/2026) **</t>
  </si>
  <si>
    <t>INE115A14FL7</t>
  </si>
  <si>
    <t>Treasury Bill</t>
  </si>
  <si>
    <t>182 DTB (04-SEP-2025)</t>
  </si>
  <si>
    <t>IN002024Y472</t>
  </si>
  <si>
    <t xml:space="preserve"> Sovereign</t>
  </si>
  <si>
    <t>Government Bonds</t>
  </si>
  <si>
    <t>GOI FRB 2033 (22-SEP-2033)</t>
  </si>
  <si>
    <t>IN0020200120</t>
  </si>
  <si>
    <t>Sovereign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</si>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</sst>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4" fontId="9" fillId="3" borderId="16" xfId="0" applyNumberFormat="1" applyFont="1" applyFill="1" applyBorder="1"/>
    <xf numFmtId="164" fontId="3" fillId="3" borderId="13" xfId="1" applyFont="1" applyFill="1" applyBorder="1" applyAlignment="1">
      <alignment horizontal="center" vertical="center"/>
    </xf>
    <xf numFmtId="164" fontId="3" fillId="3" borderId="0" xfId="1" applyFont="1" applyFill="1" applyAlignment="1"/>
    <xf numFmtId="164" fontId="3" fillId="3" borderId="0" xfId="1" applyFont="1" applyFill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C95F-E5E9-4809-B6B1-608D4BF84208}">
  <dimension ref="B1:R56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726562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2.5429687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3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9"/>
      <c r="Q6" s="29"/>
      <c r="R6" s="29"/>
    </row>
    <row r="7" spans="2:18">
      <c r="B7" s="25" t="s">
        <v>21</v>
      </c>
      <c r="C7" s="25" t="s">
        <v>22</v>
      </c>
      <c r="D7" s="25" t="s">
        <v>23</v>
      </c>
      <c r="E7" s="30">
        <v>250</v>
      </c>
      <c r="F7" s="26">
        <v>2519.65</v>
      </c>
      <c r="G7" s="26">
        <v>4.42</v>
      </c>
      <c r="H7" s="26">
        <v>6.76</v>
      </c>
      <c r="J7" s="27"/>
      <c r="K7" s="21"/>
      <c r="L7" s="27"/>
      <c r="M7" s="21"/>
      <c r="O7" s="31" t="s">
        <v>24</v>
      </c>
      <c r="P7" s="32"/>
      <c r="Q7" s="33" t="s">
        <v>25</v>
      </c>
      <c r="R7" s="32"/>
    </row>
    <row r="8" spans="2:18">
      <c r="B8" s="25" t="s">
        <v>26</v>
      </c>
      <c r="C8" s="25" t="s">
        <v>27</v>
      </c>
      <c r="D8" s="25" t="s">
        <v>23</v>
      </c>
      <c r="E8" s="30">
        <v>250</v>
      </c>
      <c r="F8" s="26">
        <v>2510.5700000000002</v>
      </c>
      <c r="G8" s="26">
        <v>4.4000000000000004</v>
      </c>
      <c r="H8" s="26">
        <v>6.76</v>
      </c>
      <c r="J8" s="27"/>
      <c r="K8" s="21"/>
      <c r="L8" s="27"/>
      <c r="M8" s="21"/>
      <c r="O8" s="31"/>
      <c r="P8" s="34"/>
      <c r="Q8" s="35"/>
      <c r="R8" s="34"/>
    </row>
    <row r="9" spans="2:18">
      <c r="B9" s="25" t="s">
        <v>28</v>
      </c>
      <c r="C9" s="25" t="s">
        <v>29</v>
      </c>
      <c r="D9" s="25" t="s">
        <v>23</v>
      </c>
      <c r="E9" s="30">
        <v>2500</v>
      </c>
      <c r="F9" s="26">
        <v>2508.1</v>
      </c>
      <c r="G9" s="26">
        <v>4.4000000000000004</v>
      </c>
      <c r="H9" s="26">
        <v>6.92</v>
      </c>
      <c r="J9" s="27"/>
      <c r="K9" s="21"/>
      <c r="L9" s="27"/>
      <c r="M9" s="21"/>
      <c r="O9" s="31" t="s">
        <v>30</v>
      </c>
      <c r="P9" s="32"/>
      <c r="Q9" s="32"/>
      <c r="R9" s="32"/>
    </row>
    <row r="10" spans="2:18">
      <c r="B10" s="25" t="s">
        <v>31</v>
      </c>
      <c r="C10" s="25" t="s">
        <v>32</v>
      </c>
      <c r="D10" s="25" t="s">
        <v>23</v>
      </c>
      <c r="E10" s="30">
        <v>230</v>
      </c>
      <c r="F10" s="26">
        <v>2311.86</v>
      </c>
      <c r="G10" s="26">
        <v>4.05</v>
      </c>
      <c r="H10" s="26">
        <v>7.15</v>
      </c>
      <c r="J10" s="27"/>
      <c r="K10" s="21"/>
      <c r="L10" s="27"/>
      <c r="M10" s="21"/>
      <c r="O10" s="31"/>
      <c r="P10" s="34"/>
      <c r="Q10" s="34"/>
      <c r="R10" s="34"/>
    </row>
    <row r="11" spans="2:18">
      <c r="B11" s="36" t="s">
        <v>33</v>
      </c>
      <c r="C11" s="36"/>
      <c r="D11" s="36"/>
      <c r="E11" s="36"/>
      <c r="F11" s="37">
        <f>SUM(F6:F10)</f>
        <v>9850.18</v>
      </c>
      <c r="G11" s="37">
        <f>SUM(G6:G10)</f>
        <v>17.27</v>
      </c>
      <c r="H11" s="38"/>
      <c r="I11" s="39"/>
      <c r="J11" s="27"/>
      <c r="K11" s="21"/>
      <c r="L11" s="27"/>
      <c r="M11" s="21"/>
      <c r="O11" s="31" t="s">
        <v>34</v>
      </c>
      <c r="P11" s="32"/>
      <c r="Q11" s="32"/>
      <c r="R11" s="32"/>
    </row>
    <row r="12" spans="2:18">
      <c r="B12" s="40" t="s">
        <v>35</v>
      </c>
      <c r="C12" s="40"/>
      <c r="D12" s="40"/>
      <c r="E12" s="40"/>
      <c r="F12" s="41">
        <f>F11</f>
        <v>9850.18</v>
      </c>
      <c r="G12" s="41">
        <f>G11</f>
        <v>17.27</v>
      </c>
      <c r="H12" s="41"/>
      <c r="I12" s="39"/>
      <c r="J12" s="42"/>
      <c r="K12" s="21"/>
      <c r="L12" s="42"/>
      <c r="M12" s="21"/>
      <c r="O12" s="31"/>
      <c r="P12" s="34"/>
      <c r="Q12" s="34"/>
      <c r="R12" s="34"/>
    </row>
    <row r="13" spans="2:18">
      <c r="B13" s="24" t="s">
        <v>36</v>
      </c>
      <c r="C13" s="25"/>
      <c r="D13" s="25"/>
      <c r="E13" s="25"/>
      <c r="F13" s="26"/>
      <c r="G13" s="26"/>
      <c r="H13" s="26"/>
      <c r="J13" s="43"/>
      <c r="K13" s="43" t="s">
        <v>37</v>
      </c>
      <c r="L13" s="44"/>
      <c r="M13" s="44"/>
    </row>
    <row r="14" spans="2:18">
      <c r="B14" s="24" t="s">
        <v>38</v>
      </c>
      <c r="C14" s="25"/>
      <c r="D14" s="25"/>
      <c r="E14" s="25"/>
      <c r="F14" s="26"/>
      <c r="G14" s="26"/>
      <c r="H14" s="26"/>
    </row>
    <row r="15" spans="2:18">
      <c r="B15" s="25" t="s">
        <v>39</v>
      </c>
      <c r="C15" s="25" t="s">
        <v>40</v>
      </c>
      <c r="D15" s="25" t="s">
        <v>41</v>
      </c>
      <c r="E15" s="30">
        <v>1000</v>
      </c>
      <c r="F15" s="26">
        <v>4839.46</v>
      </c>
      <c r="G15" s="26">
        <v>8.49</v>
      </c>
      <c r="H15" s="26">
        <v>6.48</v>
      </c>
    </row>
    <row r="16" spans="2:18">
      <c r="B16" s="25" t="s">
        <v>42</v>
      </c>
      <c r="C16" s="25" t="s">
        <v>43</v>
      </c>
      <c r="D16" s="25" t="s">
        <v>44</v>
      </c>
      <c r="E16" s="30">
        <v>1000</v>
      </c>
      <c r="F16" s="26">
        <v>4836.21</v>
      </c>
      <c r="G16" s="26">
        <v>8.48</v>
      </c>
      <c r="H16" s="26">
        <v>6.41</v>
      </c>
    </row>
    <row r="17" spans="2:9">
      <c r="B17" s="25" t="s">
        <v>45</v>
      </c>
      <c r="C17" s="25" t="s">
        <v>46</v>
      </c>
      <c r="D17" s="25" t="s">
        <v>44</v>
      </c>
      <c r="E17" s="30">
        <v>500</v>
      </c>
      <c r="F17" s="26">
        <v>2488.83</v>
      </c>
      <c r="G17" s="26">
        <v>4.3600000000000003</v>
      </c>
      <c r="H17" s="26">
        <v>6.3</v>
      </c>
    </row>
    <row r="18" spans="2:9">
      <c r="B18" s="25" t="s">
        <v>47</v>
      </c>
      <c r="C18" s="25" t="s">
        <v>48</v>
      </c>
      <c r="D18" s="25" t="s">
        <v>44</v>
      </c>
      <c r="E18" s="30">
        <v>500</v>
      </c>
      <c r="F18" s="26">
        <v>2459.44</v>
      </c>
      <c r="G18" s="26">
        <v>4.3099999999999996</v>
      </c>
      <c r="H18" s="26">
        <v>6.27</v>
      </c>
    </row>
    <row r="19" spans="2:9">
      <c r="B19" s="25" t="s">
        <v>49</v>
      </c>
      <c r="C19" s="25" t="s">
        <v>50</v>
      </c>
      <c r="D19" s="25" t="s">
        <v>41</v>
      </c>
      <c r="E19" s="30">
        <v>500</v>
      </c>
      <c r="F19" s="26">
        <v>2455.2600000000002</v>
      </c>
      <c r="G19" s="26">
        <v>4.3</v>
      </c>
      <c r="H19" s="26">
        <v>6.27</v>
      </c>
    </row>
    <row r="20" spans="2:9">
      <c r="B20" s="25" t="s">
        <v>51</v>
      </c>
      <c r="C20" s="25" t="s">
        <v>52</v>
      </c>
      <c r="D20" s="25" t="s">
        <v>53</v>
      </c>
      <c r="E20" s="30">
        <v>500</v>
      </c>
      <c r="F20" s="26">
        <v>2429.29</v>
      </c>
      <c r="G20" s="26">
        <v>4.26</v>
      </c>
      <c r="H20" s="26">
        <v>6.4</v>
      </c>
    </row>
    <row r="21" spans="2:9">
      <c r="B21" s="25" t="s">
        <v>54</v>
      </c>
      <c r="C21" s="25" t="s">
        <v>55</v>
      </c>
      <c r="D21" s="25" t="s">
        <v>56</v>
      </c>
      <c r="E21" s="30">
        <v>500</v>
      </c>
      <c r="F21" s="26">
        <v>2418.12</v>
      </c>
      <c r="G21" s="26">
        <v>4.24</v>
      </c>
      <c r="H21" s="26">
        <v>6.44</v>
      </c>
    </row>
    <row r="22" spans="2:9">
      <c r="B22" s="25" t="s">
        <v>57</v>
      </c>
      <c r="C22" s="25" t="s">
        <v>58</v>
      </c>
      <c r="D22" s="25" t="s">
        <v>44</v>
      </c>
      <c r="E22" s="30">
        <v>500</v>
      </c>
      <c r="F22" s="26">
        <v>2383.91</v>
      </c>
      <c r="G22" s="26">
        <v>4.18</v>
      </c>
      <c r="H22" s="26">
        <v>6.44</v>
      </c>
    </row>
    <row r="23" spans="2:9">
      <c r="B23" s="25" t="s">
        <v>59</v>
      </c>
      <c r="C23" s="25" t="s">
        <v>60</v>
      </c>
      <c r="D23" s="25" t="s">
        <v>44</v>
      </c>
      <c r="E23" s="30">
        <v>500</v>
      </c>
      <c r="F23" s="26">
        <v>2381.2399999999998</v>
      </c>
      <c r="G23" s="26">
        <v>4.18</v>
      </c>
      <c r="H23" s="26">
        <v>6.41</v>
      </c>
    </row>
    <row r="24" spans="2:9">
      <c r="B24" s="25" t="s">
        <v>61</v>
      </c>
      <c r="C24" s="25" t="s">
        <v>62</v>
      </c>
      <c r="D24" s="25" t="s">
        <v>41</v>
      </c>
      <c r="E24" s="30">
        <v>500</v>
      </c>
      <c r="F24" s="26">
        <v>2380.88</v>
      </c>
      <c r="G24" s="26">
        <v>4.17</v>
      </c>
      <c r="H24" s="26">
        <v>6.43</v>
      </c>
    </row>
    <row r="25" spans="2:9">
      <c r="B25" s="24" t="s">
        <v>33</v>
      </c>
      <c r="C25" s="24"/>
      <c r="D25" s="24"/>
      <c r="E25" s="24"/>
      <c r="F25" s="45">
        <f>SUM(F14:F24)</f>
        <v>29072.640000000003</v>
      </c>
      <c r="G25" s="45">
        <f>SUM(G14:G24)</f>
        <v>50.97</v>
      </c>
      <c r="H25" s="46"/>
      <c r="I25" s="39"/>
    </row>
    <row r="26" spans="2:9">
      <c r="B26" s="24" t="s">
        <v>63</v>
      </c>
      <c r="C26" s="25"/>
      <c r="D26" s="25"/>
      <c r="E26" s="25"/>
      <c r="F26" s="26"/>
      <c r="G26" s="26"/>
      <c r="H26" s="26"/>
    </row>
    <row r="27" spans="2:9">
      <c r="B27" s="25" t="s">
        <v>64</v>
      </c>
      <c r="C27" s="25" t="s">
        <v>65</v>
      </c>
      <c r="D27" s="25" t="s">
        <v>53</v>
      </c>
      <c r="E27" s="30">
        <v>1000</v>
      </c>
      <c r="F27" s="26">
        <v>4902.45</v>
      </c>
      <c r="G27" s="26">
        <v>8.6</v>
      </c>
      <c r="H27" s="26">
        <v>6.73</v>
      </c>
    </row>
    <row r="28" spans="2:9">
      <c r="B28" s="25" t="s">
        <v>66</v>
      </c>
      <c r="C28" s="25" t="s">
        <v>67</v>
      </c>
      <c r="D28" s="25" t="s">
        <v>44</v>
      </c>
      <c r="E28" s="30">
        <v>1000</v>
      </c>
      <c r="F28" s="26">
        <v>4855.78</v>
      </c>
      <c r="G28" s="26">
        <v>8.51</v>
      </c>
      <c r="H28" s="26">
        <v>6.42</v>
      </c>
    </row>
    <row r="29" spans="2:9">
      <c r="B29" s="25" t="s">
        <v>68</v>
      </c>
      <c r="C29" s="25" t="s">
        <v>69</v>
      </c>
      <c r="D29" s="25" t="s">
        <v>44</v>
      </c>
      <c r="E29" s="30">
        <v>400</v>
      </c>
      <c r="F29" s="26">
        <v>1901.14</v>
      </c>
      <c r="G29" s="26">
        <v>3.33</v>
      </c>
      <c r="H29" s="26">
        <v>6.55</v>
      </c>
    </row>
    <row r="30" spans="2:9">
      <c r="B30" s="24" t="s">
        <v>33</v>
      </c>
      <c r="C30" s="24"/>
      <c r="D30" s="24"/>
      <c r="E30" s="24"/>
      <c r="F30" s="45">
        <f>SUM(F26:F29)</f>
        <v>11659.369999999999</v>
      </c>
      <c r="G30" s="45">
        <f>SUM(G26:G29)</f>
        <v>20.439999999999998</v>
      </c>
      <c r="H30" s="46"/>
      <c r="I30" s="39"/>
    </row>
    <row r="31" spans="2:9">
      <c r="B31" s="24" t="s">
        <v>70</v>
      </c>
      <c r="C31" s="25"/>
      <c r="D31" s="25"/>
      <c r="E31" s="25"/>
      <c r="F31" s="26"/>
      <c r="G31" s="26"/>
      <c r="H31" s="26"/>
    </row>
    <row r="32" spans="2:9">
      <c r="B32" s="25" t="s">
        <v>71</v>
      </c>
      <c r="C32" s="25" t="s">
        <v>72</v>
      </c>
      <c r="D32" s="25" t="s">
        <v>73</v>
      </c>
      <c r="E32" s="30">
        <v>2500000</v>
      </c>
      <c r="F32" s="26">
        <v>2464.02</v>
      </c>
      <c r="G32" s="26">
        <v>4.32</v>
      </c>
      <c r="H32" s="26">
        <v>5.61</v>
      </c>
    </row>
    <row r="33" spans="2:9">
      <c r="B33" s="36" t="s">
        <v>33</v>
      </c>
      <c r="C33" s="36"/>
      <c r="D33" s="36"/>
      <c r="E33" s="36"/>
      <c r="F33" s="37">
        <f>SUM(F31:F32)</f>
        <v>2464.02</v>
      </c>
      <c r="G33" s="37">
        <f>SUM(G31:G32)</f>
        <v>4.32</v>
      </c>
      <c r="H33" s="38"/>
      <c r="I33" s="39"/>
    </row>
    <row r="34" spans="2:9">
      <c r="B34" s="40" t="s">
        <v>35</v>
      </c>
      <c r="C34" s="40"/>
      <c r="D34" s="40"/>
      <c r="E34" s="40"/>
      <c r="F34" s="41">
        <f>F25+F30+F33</f>
        <v>43196.03</v>
      </c>
      <c r="G34" s="41">
        <f>G25+G30+G33</f>
        <v>75.72999999999999</v>
      </c>
      <c r="H34" s="41"/>
      <c r="I34" s="39"/>
    </row>
    <row r="35" spans="2:9">
      <c r="B35" s="24" t="s">
        <v>74</v>
      </c>
      <c r="C35" s="25"/>
      <c r="D35" s="25"/>
      <c r="E35" s="25"/>
      <c r="F35" s="26"/>
      <c r="G35" s="26"/>
      <c r="H35" s="26"/>
    </row>
    <row r="36" spans="2:9">
      <c r="B36" s="47" t="s">
        <v>75</v>
      </c>
      <c r="C36" s="47" t="s">
        <v>76</v>
      </c>
      <c r="D36" s="47" t="s">
        <v>77</v>
      </c>
      <c r="E36" s="48">
        <v>500000</v>
      </c>
      <c r="F36" s="49">
        <v>519.22</v>
      </c>
      <c r="G36" s="49">
        <v>0.91</v>
      </c>
      <c r="H36" s="49">
        <v>7.18</v>
      </c>
    </row>
    <row r="37" spans="2:9">
      <c r="B37" s="50" t="s">
        <v>35</v>
      </c>
      <c r="C37" s="50"/>
      <c r="D37" s="50"/>
      <c r="E37" s="50"/>
      <c r="F37" s="45">
        <f>SUM(F36:F36)</f>
        <v>519.22</v>
      </c>
      <c r="G37" s="45">
        <f>SUM(G36:G36)</f>
        <v>0.91</v>
      </c>
      <c r="H37" s="45"/>
      <c r="I37" s="39"/>
    </row>
    <row r="38" spans="2:9">
      <c r="B38" s="24" t="s">
        <v>78</v>
      </c>
      <c r="C38" s="25"/>
      <c r="D38" s="25"/>
      <c r="E38" s="25"/>
      <c r="F38" s="26"/>
      <c r="G38" s="26"/>
      <c r="H38" s="26"/>
    </row>
    <row r="39" spans="2:9">
      <c r="B39" s="47" t="s">
        <v>79</v>
      </c>
      <c r="C39" s="47" t="s">
        <v>80</v>
      </c>
      <c r="D39" s="47" t="s">
        <v>78</v>
      </c>
      <c r="E39" s="48">
        <v>1529.0239999999999</v>
      </c>
      <c r="F39" s="49">
        <v>171.11</v>
      </c>
      <c r="G39" s="49">
        <v>0.3</v>
      </c>
      <c r="H39" s="49">
        <v>5.71</v>
      </c>
    </row>
    <row r="40" spans="2:9">
      <c r="B40" s="50" t="s">
        <v>35</v>
      </c>
      <c r="C40" s="50"/>
      <c r="D40" s="50"/>
      <c r="E40" s="50"/>
      <c r="F40" s="45">
        <f>SUM(F39:F39)</f>
        <v>171.11</v>
      </c>
      <c r="G40" s="45">
        <f>SUM(G39:G39)</f>
        <v>0.3</v>
      </c>
      <c r="H40" s="45"/>
      <c r="I40" s="39"/>
    </row>
    <row r="41" spans="2:9">
      <c r="B41" s="24" t="s">
        <v>81</v>
      </c>
      <c r="C41" s="25"/>
      <c r="D41" s="25"/>
      <c r="E41" s="25"/>
      <c r="F41" s="26"/>
      <c r="G41" s="26"/>
      <c r="H41" s="26"/>
    </row>
    <row r="42" spans="2:9">
      <c r="B42" s="25" t="s">
        <v>81</v>
      </c>
      <c r="C42" s="25"/>
      <c r="D42" s="25"/>
      <c r="E42" s="25"/>
      <c r="F42" s="26">
        <v>3044.28</v>
      </c>
      <c r="G42" s="26">
        <v>5.34</v>
      </c>
      <c r="H42" s="26"/>
    </row>
    <row r="43" spans="2:9">
      <c r="B43" s="36" t="s">
        <v>33</v>
      </c>
      <c r="C43" s="36"/>
      <c r="D43" s="36"/>
      <c r="E43" s="36"/>
      <c r="F43" s="37">
        <f>SUM(F41:F42)</f>
        <v>3044.28</v>
      </c>
      <c r="G43" s="37">
        <f>SUM(G41:G42)</f>
        <v>5.34</v>
      </c>
      <c r="H43" s="38"/>
      <c r="I43" s="39"/>
    </row>
    <row r="44" spans="2:9">
      <c r="B44" s="51" t="s">
        <v>35</v>
      </c>
      <c r="C44" s="51"/>
      <c r="D44" s="51"/>
      <c r="E44" s="51"/>
      <c r="F44" s="52">
        <f>F43</f>
        <v>3044.28</v>
      </c>
      <c r="G44" s="52">
        <f>G43</f>
        <v>5.34</v>
      </c>
      <c r="H44" s="52"/>
      <c r="I44" s="39"/>
    </row>
    <row r="45" spans="2:9">
      <c r="B45" s="53" t="s">
        <v>82</v>
      </c>
      <c r="C45" s="53"/>
      <c r="D45" s="53"/>
      <c r="E45" s="53"/>
      <c r="F45" s="54">
        <f>F46-(+F12+F34+F37+F40+F44)</f>
        <v>253.61000000000058</v>
      </c>
      <c r="G45" s="54">
        <f>G46-(+G12+G34+G37+G40+G44)</f>
        <v>0.45000000000001705</v>
      </c>
      <c r="H45" s="54"/>
      <c r="I45" s="39"/>
    </row>
    <row r="46" spans="2:9">
      <c r="B46" s="53" t="s">
        <v>83</v>
      </c>
      <c r="C46" s="53"/>
      <c r="D46" s="53"/>
      <c r="E46" s="53"/>
      <c r="F46" s="54">
        <v>57034.43</v>
      </c>
      <c r="G46" s="54">
        <v>100</v>
      </c>
      <c r="H46" s="54"/>
      <c r="I46" s="39"/>
    </row>
    <row r="48" spans="2:9">
      <c r="B48" s="39" t="s">
        <v>84</v>
      </c>
    </row>
    <row r="49" spans="2:3">
      <c r="B49" s="39" t="s">
        <v>85</v>
      </c>
    </row>
    <row r="50" spans="2:3" ht="12" thickBot="1"/>
    <row r="51" spans="2:3" ht="12.5" thickTop="1" thickBot="1">
      <c r="B51" s="55" t="s">
        <v>86</v>
      </c>
      <c r="C51" s="56">
        <v>0.44469999999999998</v>
      </c>
    </row>
    <row r="52" spans="2:3" ht="12.5" thickTop="1" thickBot="1"/>
    <row r="53" spans="2:3" ht="12.5" thickTop="1" thickBot="1">
      <c r="B53" s="55" t="s">
        <v>87</v>
      </c>
      <c r="C53" s="57">
        <v>6.4500000000000002E-2</v>
      </c>
    </row>
    <row r="54" spans="2:3" ht="12.5" thickTop="1" thickBot="1"/>
    <row r="55" spans="2:3" ht="12.5" thickTop="1" thickBot="1">
      <c r="B55" s="55" t="s">
        <v>88</v>
      </c>
      <c r="C55" s="56">
        <v>0.4733</v>
      </c>
    </row>
    <row r="56" spans="2:3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11:30:23</KDate>
  <Classification>Public</Classification>
  <Subclassification/>
  <HostName>MUMCMP01346</HostName>
  <Domain_User>CANARAROBECOMF/396</Domain_User>
  <IPAdd>192.9.198.198</IPAdd>
  <FilePath>Book22</FilePath>
  <KID>1098191A8D7D638850654238385558</KID>
  <UniqueName/>
  <Suggested/>
  <Justification/>
</Klassify>
</file>

<file path=customXml/itemProps1.xml><?xml version="1.0" encoding="utf-8"?>
<ds:datastoreItem xmlns:ds="http://schemas.openxmlformats.org/officeDocument/2006/customXml" ds:itemID="{4CCF54C1-AFB0-47F0-8BAE-934329A2DAF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2025-06-09T06:00:18Z</dcterms:created>
  <dcterms:modified xsi:type="dcterms:W3CDTF">2025-06-09T06:00:24Z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1098191A8D7D638850654238385558</vt:lpwstr>
  </property>
</Properties>
</file>