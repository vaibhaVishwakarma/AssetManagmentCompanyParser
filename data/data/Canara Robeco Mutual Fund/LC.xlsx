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2162AD6C-4009-4F49-952D-01449FA357D7}" xr6:coauthVersionLast="47" xr6:coauthVersionMax="47" xr10:uidLastSave="{00000000-0000-0000-0000-000000000000}"/>
  <bookViews>
    <workbookView xWindow="-110" yWindow="-110" windowWidth="19420" windowHeight="10300" xr2:uid="{0430EBB2-5078-4006-927E-D25FE949C1A3}"/>
  </bookViews>
  <sheets>
    <sheet name="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/>
  <c r="G71" i="1" s="1"/>
  <c r="F70" i="1"/>
  <c r="F71" i="1" s="1"/>
  <c r="G66" i="1"/>
  <c r="G67" i="1" s="1"/>
  <c r="G72" i="1" s="1"/>
  <c r="F66" i="1"/>
  <c r="F67" i="1" s="1"/>
  <c r="F7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<sst xmlns="http://schemas.openxmlformats.org/spreadsheetml/2006/main" count="262" uniqueCount="172">
  <si>
    <t>CANARA ROBECO BLUE CHIP EQUITY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</si>
  <si>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</si>
  <si>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</si>
  <si>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</si>
  <si>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</si>
  <si>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</si>
  <si>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</si>
  <si>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</si>
  <si>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</si>
  <si>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</si>
  <si>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</si>
  <si>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</si>
  <si>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</si>
  <si>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</si>
  <si>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</si>
  <si>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</si>
  <si>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</si>
  <si>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</si>
  <si>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</si>
  <si>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</si>
  <si>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</si>
  <si>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</si>
  <si>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</si>
  <si>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</si>
  <si>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</si>
  <si>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</si>
  <si>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</si>
  <si>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</si>
  <si>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</si>
  <si>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</si>
  <si>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</si>
  <si>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</si>
  <si>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</si>
  <si>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Mahindra &amp; Mahindra Ltd</t>
  </si>
  <si>
    <t>INE101A01026</t>
  </si>
  <si>
    <t>Automobiles</t>
  </si>
  <si>
    <t>Benchmark: BSE 100 TRI</t>
  </si>
  <si>
    <t>State Bank of India</t>
  </si>
  <si>
    <t>INE062A01020</t>
  </si>
  <si>
    <t>Bajaj Finance Ltd</t>
  </si>
  <si>
    <t>INE296A01024</t>
  </si>
  <si>
    <t>Finance</t>
  </si>
  <si>
    <t>Axis Bank Ltd</t>
  </si>
  <si>
    <t>INE238A01034</t>
  </si>
  <si>
    <t>Ultratech Cement Ltd</t>
  </si>
  <si>
    <t>INE481G01011</t>
  </si>
  <si>
    <t>Cement &amp; Cement Products</t>
  </si>
  <si>
    <t>ITC Ltd</t>
  </si>
  <si>
    <t>INE154A01025</t>
  </si>
  <si>
    <t>Diversified Fmcg</t>
  </si>
  <si>
    <t>Eternal Ltd</t>
  </si>
  <si>
    <t>INE758T01015</t>
  </si>
  <si>
    <t>Retailing</t>
  </si>
  <si>
    <t>Tata Consultancy Services Ltd</t>
  </si>
  <si>
    <t>INE467B01029</t>
  </si>
  <si>
    <t>Kotak Mahindra Bank Ltd</t>
  </si>
  <si>
    <t>INE237A01028</t>
  </si>
  <si>
    <t>Bharat Electronics Ltd</t>
  </si>
  <si>
    <t>INE263A01024</t>
  </si>
  <si>
    <t>Aerospace &amp; Defense</t>
  </si>
  <si>
    <t>NTPC Ltd</t>
  </si>
  <si>
    <t>INE733E01010</t>
  </si>
  <si>
    <t>Power</t>
  </si>
  <si>
    <t>Sun Pharmaceutical Industries Ltd</t>
  </si>
  <si>
    <t>INE044A01036</t>
  </si>
  <si>
    <t>Pharmaceuticals &amp; Biotechnology</t>
  </si>
  <si>
    <t>Tata Consumer Products Ltd</t>
  </si>
  <si>
    <t>INE192A01025</t>
  </si>
  <si>
    <t>Agricultural Food &amp; Other Products</t>
  </si>
  <si>
    <t>Interglobe Aviation Ltd</t>
  </si>
  <si>
    <t>INE646L01027</t>
  </si>
  <si>
    <t>Transport Services</t>
  </si>
  <si>
    <t>Titan Co Ltd</t>
  </si>
  <si>
    <t>INE280A01028</t>
  </si>
  <si>
    <t>Consumer Durables</t>
  </si>
  <si>
    <t>Cholamandalam Investment and Finance Co Ltd</t>
  </si>
  <si>
    <t>INE121A01024</t>
  </si>
  <si>
    <t>Mankind Pharma Ltd</t>
  </si>
  <si>
    <t>INE634S01028</t>
  </si>
  <si>
    <t>Mid Cap</t>
  </si>
  <si>
    <t>SBI Life Insurance Co Ltd</t>
  </si>
  <si>
    <t>INE123W01016</t>
  </si>
  <si>
    <t>Insurance</t>
  </si>
  <si>
    <t>Max Healthcare Institute Ltd</t>
  </si>
  <si>
    <t>INE027H01010</t>
  </si>
  <si>
    <t>Healthcare Services</t>
  </si>
  <si>
    <t>Tech Mahindra Ltd</t>
  </si>
  <si>
    <t>INE669C01036</t>
  </si>
  <si>
    <t>Maruti Suzuki India Ltd</t>
  </si>
  <si>
    <t>INE585B01010</t>
  </si>
  <si>
    <t>United Spirits Ltd</t>
  </si>
  <si>
    <t>INE854D01024</t>
  </si>
  <si>
    <t>Beverages</t>
  </si>
  <si>
    <t>Bajaj Auto Ltd</t>
  </si>
  <si>
    <t>INE917I01010</t>
  </si>
  <si>
    <t>HCL Technologies Ltd</t>
  </si>
  <si>
    <t>INE860A01027</t>
  </si>
  <si>
    <t>Varun Beverages Ltd</t>
  </si>
  <si>
    <t>INE200M01039</t>
  </si>
  <si>
    <t>Trent Ltd</t>
  </si>
  <si>
    <t>INE849A01020</t>
  </si>
  <si>
    <t>Divi's Laboratories Ltd</t>
  </si>
  <si>
    <t>INE361B01024</t>
  </si>
  <si>
    <t>Tata Power Co Ltd</t>
  </si>
  <si>
    <t>INE245A01021</t>
  </si>
  <si>
    <t>Hindustan Unilever Ltd</t>
  </si>
  <si>
    <t>INE030A01027</t>
  </si>
  <si>
    <t>CG Power and Industrial Solutions Ltd</t>
  </si>
  <si>
    <t>INE067A01029</t>
  </si>
  <si>
    <t>Electrical Equipment</t>
  </si>
  <si>
    <t>Uno Minda Ltd</t>
  </si>
  <si>
    <t>INE405E01023</t>
  </si>
  <si>
    <t>Auto Components</t>
  </si>
  <si>
    <t>PB Fintech Ltd</t>
  </si>
  <si>
    <t>INE417T01026</t>
  </si>
  <si>
    <t>Financial Technology (Fintech)</t>
  </si>
  <si>
    <t>PI Industries Ltd</t>
  </si>
  <si>
    <t>INE603J01030</t>
  </si>
  <si>
    <t>Fertilizers &amp; Agrochemicals</t>
  </si>
  <si>
    <t>Indian Hotels Co Ltd</t>
  </si>
  <si>
    <t>INE053A01029</t>
  </si>
  <si>
    <t>Leisure Services</t>
  </si>
  <si>
    <t>ICICI Lombard General Insurance Co Ltd</t>
  </si>
  <si>
    <t>INE765G01017</t>
  </si>
  <si>
    <t>Samvardhana Motherson International Ltd</t>
  </si>
  <si>
    <t>INE775A01035</t>
  </si>
  <si>
    <t>Abbott India Ltd</t>
  </si>
  <si>
    <t>INE358A01014</t>
  </si>
  <si>
    <t>Power Finance Corporation Ltd</t>
  </si>
  <si>
    <t>INE134E01011</t>
  </si>
  <si>
    <t>Tata Steel Ltd</t>
  </si>
  <si>
    <t>INE081A01020</t>
  </si>
  <si>
    <t>Ferrous Metals</t>
  </si>
  <si>
    <t>Avenue Supermarts Ltd</t>
  </si>
  <si>
    <t>INE192R01011</t>
  </si>
  <si>
    <t>Cipla Ltd</t>
  </si>
  <si>
    <t>INE059A01026</t>
  </si>
  <si>
    <t>Hindalco Industries Ltd</t>
  </si>
  <si>
    <t>INE038A01020</t>
  </si>
  <si>
    <t>Non - Ferrous Metals</t>
  </si>
  <si>
    <t>Torrent Pharmaceuticals Ltd</t>
  </si>
  <si>
    <t>INE685A01028</t>
  </si>
  <si>
    <t>Oberoi Realty Ltd</t>
  </si>
  <si>
    <t>INE093I01010</t>
  </si>
  <si>
    <t>Realty</t>
  </si>
  <si>
    <t>SRF Ltd</t>
  </si>
  <si>
    <t>INE647A01010</t>
  </si>
  <si>
    <t>Chemicals &amp; Petrochemicals</t>
  </si>
  <si>
    <t>TVS Motor Co Ltd</t>
  </si>
  <si>
    <t>INE494B01023</t>
  </si>
  <si>
    <t>Sona Blw Precision Forgings Ltd</t>
  </si>
  <si>
    <t>INE073K01018</t>
  </si>
  <si>
    <t>NTPC Green Energy Ltd</t>
  </si>
  <si>
    <t>INE0ONG01011</t>
  </si>
  <si>
    <t>Page Industries Ltd</t>
  </si>
  <si>
    <t>INE761H01022</t>
  </si>
  <si>
    <t>Textiles &amp; Apparels</t>
  </si>
  <si>
    <t>Dr. Reddy's Laboratories Ltd</t>
  </si>
  <si>
    <t>INE089A01031</t>
  </si>
  <si>
    <t>Tata Motors Ltd</t>
  </si>
  <si>
    <t>INE155A01022</t>
  </si>
  <si>
    <t>ITC Hotels Ltd</t>
  </si>
  <si>
    <t>INE379A01028</t>
  </si>
  <si>
    <t>Info Edge (India) Ltd</t>
  </si>
  <si>
    <t>INE663F01032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</si>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</sst>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712E-9EC7-4D32-84FE-9605E01F4A5C}">
  <dimension ref="B1:M77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8.453125" style="3" bestFit="1" customWidth="1"/>
    <col min="5" max="5" width="9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7876256</v>
      </c>
      <c r="F7" s="19">
        <v>153185.29999999999</v>
      </c>
      <c r="G7" s="19">
        <v>9.56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17</v>
      </c>
      <c r="E8" s="22">
        <v>9135600</v>
      </c>
      <c r="F8" s="19">
        <v>132082.5</v>
      </c>
      <c r="G8" s="19">
        <v>8.24</v>
      </c>
      <c r="H8" s="19" t="s">
        <v>18</v>
      </c>
      <c r="J8" s="20"/>
      <c r="K8" s="20"/>
      <c r="L8" s="20"/>
      <c r="M8" s="20"/>
    </row>
    <row r="9" spans="2:13">
      <c r="B9" s="21" t="s">
        <v>21</v>
      </c>
      <c r="C9" s="18" t="s">
        <v>22</v>
      </c>
      <c r="D9" s="18" t="s">
        <v>23</v>
      </c>
      <c r="E9" s="22">
        <v>5866500</v>
      </c>
      <c r="F9" s="19">
        <v>83357.100000000006</v>
      </c>
      <c r="G9" s="19">
        <v>5.2</v>
      </c>
      <c r="H9" s="19" t="s">
        <v>18</v>
      </c>
      <c r="J9" s="20"/>
      <c r="K9" s="20"/>
      <c r="L9" s="20"/>
      <c r="M9" s="20"/>
    </row>
    <row r="10" spans="2:13">
      <c r="B10" s="21" t="s">
        <v>24</v>
      </c>
      <c r="C10" s="18" t="s">
        <v>25</v>
      </c>
      <c r="D10" s="18" t="s">
        <v>26</v>
      </c>
      <c r="E10" s="22">
        <v>4364142</v>
      </c>
      <c r="F10" s="19">
        <v>68198.45</v>
      </c>
      <c r="G10" s="19">
        <v>4.26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3285316</v>
      </c>
      <c r="F11" s="19">
        <v>60982.04</v>
      </c>
      <c r="G11" s="19">
        <v>3.81</v>
      </c>
      <c r="H11" s="19" t="s">
        <v>18</v>
      </c>
      <c r="J11" s="20"/>
      <c r="K11" s="20"/>
      <c r="L11" s="20"/>
      <c r="M11" s="20"/>
    </row>
    <row r="12" spans="2:13">
      <c r="B12" s="21" t="s">
        <v>30</v>
      </c>
      <c r="C12" s="18" t="s">
        <v>31</v>
      </c>
      <c r="D12" s="18" t="s">
        <v>32</v>
      </c>
      <c r="E12" s="22">
        <v>1632992</v>
      </c>
      <c r="F12" s="19">
        <v>60014.09</v>
      </c>
      <c r="G12" s="19">
        <v>3.74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1671515</v>
      </c>
      <c r="F13" s="19">
        <v>49757.66</v>
      </c>
      <c r="G13" s="19">
        <v>3.1</v>
      </c>
      <c r="H13" s="19" t="s">
        <v>18</v>
      </c>
      <c r="K13" s="24" t="s">
        <v>36</v>
      </c>
    </row>
    <row r="14" spans="2:13">
      <c r="B14" s="21" t="s">
        <v>37</v>
      </c>
      <c r="C14" s="18" t="s">
        <v>38</v>
      </c>
      <c r="D14" s="18" t="s">
        <v>17</v>
      </c>
      <c r="E14" s="22">
        <v>5700800</v>
      </c>
      <c r="F14" s="19">
        <v>46307.6</v>
      </c>
      <c r="G14" s="19">
        <v>2.89</v>
      </c>
      <c r="H14" s="19" t="s">
        <v>18</v>
      </c>
    </row>
    <row r="15" spans="2:13">
      <c r="B15" s="21" t="s">
        <v>39</v>
      </c>
      <c r="C15" s="18" t="s">
        <v>40</v>
      </c>
      <c r="D15" s="18" t="s">
        <v>41</v>
      </c>
      <c r="E15" s="22">
        <v>490934</v>
      </c>
      <c r="F15" s="19">
        <v>45070.2</v>
      </c>
      <c r="G15" s="19">
        <v>2.81</v>
      </c>
      <c r="H15" s="19" t="s">
        <v>18</v>
      </c>
    </row>
    <row r="16" spans="2:13">
      <c r="B16" s="21" t="s">
        <v>42</v>
      </c>
      <c r="C16" s="18" t="s">
        <v>43</v>
      </c>
      <c r="D16" s="18" t="s">
        <v>17</v>
      </c>
      <c r="E16" s="22">
        <v>3549200</v>
      </c>
      <c r="F16" s="19">
        <v>42313.56</v>
      </c>
      <c r="G16" s="19">
        <v>2.64</v>
      </c>
      <c r="H16" s="19" t="s">
        <v>18</v>
      </c>
    </row>
    <row r="17" spans="2:8">
      <c r="B17" s="21" t="s">
        <v>44</v>
      </c>
      <c r="C17" s="18" t="s">
        <v>45</v>
      </c>
      <c r="D17" s="18" t="s">
        <v>46</v>
      </c>
      <c r="E17" s="22">
        <v>369652</v>
      </c>
      <c r="F17" s="19">
        <v>41437.99</v>
      </c>
      <c r="G17" s="19">
        <v>2.59</v>
      </c>
      <c r="H17" s="19" t="s">
        <v>18</v>
      </c>
    </row>
    <row r="18" spans="2:8">
      <c r="B18" s="21" t="s">
        <v>47</v>
      </c>
      <c r="C18" s="18" t="s">
        <v>48</v>
      </c>
      <c r="D18" s="18" t="s">
        <v>49</v>
      </c>
      <c r="E18" s="22">
        <v>9200000</v>
      </c>
      <c r="F18" s="19">
        <v>38460.6</v>
      </c>
      <c r="G18" s="19">
        <v>2.4</v>
      </c>
      <c r="H18" s="19" t="s">
        <v>18</v>
      </c>
    </row>
    <row r="19" spans="2:8">
      <c r="B19" s="21" t="s">
        <v>50</v>
      </c>
      <c r="C19" s="18" t="s">
        <v>51</v>
      </c>
      <c r="D19" s="18" t="s">
        <v>52</v>
      </c>
      <c r="E19" s="22">
        <v>15090000</v>
      </c>
      <c r="F19" s="19">
        <v>35960.980000000003</v>
      </c>
      <c r="G19" s="19">
        <v>2.2400000000000002</v>
      </c>
      <c r="H19" s="19" t="s">
        <v>18</v>
      </c>
    </row>
    <row r="20" spans="2:8">
      <c r="B20" s="21" t="s">
        <v>53</v>
      </c>
      <c r="C20" s="18" t="s">
        <v>54</v>
      </c>
      <c r="D20" s="18" t="s">
        <v>26</v>
      </c>
      <c r="E20" s="22">
        <v>1011982</v>
      </c>
      <c r="F20" s="19">
        <v>35048.980000000003</v>
      </c>
      <c r="G20" s="19">
        <v>2.19</v>
      </c>
      <c r="H20" s="19" t="s">
        <v>18</v>
      </c>
    </row>
    <row r="21" spans="2:8">
      <c r="B21" s="21" t="s">
        <v>55</v>
      </c>
      <c r="C21" s="18" t="s">
        <v>56</v>
      </c>
      <c r="D21" s="18" t="s">
        <v>17</v>
      </c>
      <c r="E21" s="22">
        <v>1558750</v>
      </c>
      <c r="F21" s="19">
        <v>32339.39</v>
      </c>
      <c r="G21" s="19">
        <v>2.02</v>
      </c>
      <c r="H21" s="19" t="s">
        <v>18</v>
      </c>
    </row>
    <row r="22" spans="2:8">
      <c r="B22" s="21" t="s">
        <v>57</v>
      </c>
      <c r="C22" s="18" t="s">
        <v>58</v>
      </c>
      <c r="D22" s="18" t="s">
        <v>59</v>
      </c>
      <c r="E22" s="22">
        <v>7975000</v>
      </c>
      <c r="F22" s="19">
        <v>30671.85</v>
      </c>
      <c r="G22" s="19">
        <v>1.91</v>
      </c>
      <c r="H22" s="19" t="s">
        <v>18</v>
      </c>
    </row>
    <row r="23" spans="2:8">
      <c r="B23" s="21" t="s">
        <v>60</v>
      </c>
      <c r="C23" s="18" t="s">
        <v>61</v>
      </c>
      <c r="D23" s="18" t="s">
        <v>62</v>
      </c>
      <c r="E23" s="22">
        <v>8900000</v>
      </c>
      <c r="F23" s="19">
        <v>29717.1</v>
      </c>
      <c r="G23" s="19">
        <v>1.85</v>
      </c>
      <c r="H23" s="19" t="s">
        <v>18</v>
      </c>
    </row>
    <row r="24" spans="2:8">
      <c r="B24" s="21" t="s">
        <v>63</v>
      </c>
      <c r="C24" s="18" t="s">
        <v>64</v>
      </c>
      <c r="D24" s="18" t="s">
        <v>65</v>
      </c>
      <c r="E24" s="22">
        <v>1569500</v>
      </c>
      <c r="F24" s="19">
        <v>26329.93</v>
      </c>
      <c r="G24" s="19">
        <v>1.64</v>
      </c>
      <c r="H24" s="19" t="s">
        <v>18</v>
      </c>
    </row>
    <row r="25" spans="2:8">
      <c r="B25" s="21" t="s">
        <v>66</v>
      </c>
      <c r="C25" s="18" t="s">
        <v>67</v>
      </c>
      <c r="D25" s="18" t="s">
        <v>68</v>
      </c>
      <c r="E25" s="22">
        <v>2275662</v>
      </c>
      <c r="F25" s="19">
        <v>25175.65</v>
      </c>
      <c r="G25" s="19">
        <v>1.57</v>
      </c>
      <c r="H25" s="19" t="s">
        <v>18</v>
      </c>
    </row>
    <row r="26" spans="2:8">
      <c r="B26" s="21" t="s">
        <v>69</v>
      </c>
      <c r="C26" s="18" t="s">
        <v>70</v>
      </c>
      <c r="D26" s="18" t="s">
        <v>71</v>
      </c>
      <c r="E26" s="22">
        <v>439828</v>
      </c>
      <c r="F26" s="19">
        <v>23442.83</v>
      </c>
      <c r="G26" s="19">
        <v>1.46</v>
      </c>
      <c r="H26" s="19" t="s">
        <v>18</v>
      </c>
    </row>
    <row r="27" spans="2:8">
      <c r="B27" s="21" t="s">
        <v>72</v>
      </c>
      <c r="C27" s="18" t="s">
        <v>73</v>
      </c>
      <c r="D27" s="18" t="s">
        <v>74</v>
      </c>
      <c r="E27" s="22">
        <v>642200</v>
      </c>
      <c r="F27" s="19">
        <v>22830.21</v>
      </c>
      <c r="G27" s="19">
        <v>1.42</v>
      </c>
      <c r="H27" s="19" t="s">
        <v>18</v>
      </c>
    </row>
    <row r="28" spans="2:8">
      <c r="B28" s="21" t="s">
        <v>75</v>
      </c>
      <c r="C28" s="18" t="s">
        <v>76</v>
      </c>
      <c r="D28" s="18" t="s">
        <v>41</v>
      </c>
      <c r="E28" s="22">
        <v>1392021</v>
      </c>
      <c r="F28" s="19">
        <v>22286.26</v>
      </c>
      <c r="G28" s="19">
        <v>1.39</v>
      </c>
      <c r="H28" s="19" t="s">
        <v>18</v>
      </c>
    </row>
    <row r="29" spans="2:8">
      <c r="B29" s="21" t="s">
        <v>77</v>
      </c>
      <c r="C29" s="18" t="s">
        <v>78</v>
      </c>
      <c r="D29" s="18" t="s">
        <v>65</v>
      </c>
      <c r="E29" s="22">
        <v>901859</v>
      </c>
      <c r="F29" s="19">
        <v>22255.17</v>
      </c>
      <c r="G29" s="19">
        <v>1.39</v>
      </c>
      <c r="H29" s="19" t="s">
        <v>79</v>
      </c>
    </row>
    <row r="30" spans="2:8">
      <c r="B30" s="21" t="s">
        <v>80</v>
      </c>
      <c r="C30" s="18" t="s">
        <v>81</v>
      </c>
      <c r="D30" s="18" t="s">
        <v>82</v>
      </c>
      <c r="E30" s="22">
        <v>1209651</v>
      </c>
      <c r="F30" s="19">
        <v>21921.3</v>
      </c>
      <c r="G30" s="19">
        <v>1.37</v>
      </c>
      <c r="H30" s="19" t="s">
        <v>18</v>
      </c>
    </row>
    <row r="31" spans="2:8">
      <c r="B31" s="21" t="s">
        <v>83</v>
      </c>
      <c r="C31" s="18" t="s">
        <v>84</v>
      </c>
      <c r="D31" s="18" t="s">
        <v>85</v>
      </c>
      <c r="E31" s="22">
        <v>1938101</v>
      </c>
      <c r="F31" s="19">
        <v>21807.51</v>
      </c>
      <c r="G31" s="19">
        <v>1.36</v>
      </c>
      <c r="H31" s="19" t="s">
        <v>79</v>
      </c>
    </row>
    <row r="32" spans="2:8">
      <c r="B32" s="21" t="s">
        <v>86</v>
      </c>
      <c r="C32" s="18" t="s">
        <v>87</v>
      </c>
      <c r="D32" s="18" t="s">
        <v>26</v>
      </c>
      <c r="E32" s="22">
        <v>1330000</v>
      </c>
      <c r="F32" s="19">
        <v>20932.87</v>
      </c>
      <c r="G32" s="19">
        <v>1.31</v>
      </c>
      <c r="H32" s="19" t="s">
        <v>18</v>
      </c>
    </row>
    <row r="33" spans="2:8">
      <c r="B33" s="21" t="s">
        <v>88</v>
      </c>
      <c r="C33" s="18" t="s">
        <v>89</v>
      </c>
      <c r="D33" s="18" t="s">
        <v>35</v>
      </c>
      <c r="E33" s="22">
        <v>162650</v>
      </c>
      <c r="F33" s="19">
        <v>20036.849999999999</v>
      </c>
      <c r="G33" s="19">
        <v>1.25</v>
      </c>
      <c r="H33" s="19" t="s">
        <v>18</v>
      </c>
    </row>
    <row r="34" spans="2:8">
      <c r="B34" s="21" t="s">
        <v>90</v>
      </c>
      <c r="C34" s="18" t="s">
        <v>91</v>
      </c>
      <c r="D34" s="18" t="s">
        <v>92</v>
      </c>
      <c r="E34" s="22">
        <v>1245000</v>
      </c>
      <c r="F34" s="19">
        <v>18925.25</v>
      </c>
      <c r="G34" s="19">
        <v>1.18</v>
      </c>
      <c r="H34" s="19" t="s">
        <v>18</v>
      </c>
    </row>
    <row r="35" spans="2:8">
      <c r="B35" s="21" t="s">
        <v>93</v>
      </c>
      <c r="C35" s="18" t="s">
        <v>94</v>
      </c>
      <c r="D35" s="18" t="s">
        <v>35</v>
      </c>
      <c r="E35" s="22">
        <v>213881</v>
      </c>
      <c r="F35" s="19">
        <v>18408.740000000002</v>
      </c>
      <c r="G35" s="19">
        <v>1.1499999999999999</v>
      </c>
      <c r="H35" s="19" t="s">
        <v>18</v>
      </c>
    </row>
    <row r="36" spans="2:8">
      <c r="B36" s="21" t="s">
        <v>95</v>
      </c>
      <c r="C36" s="18" t="s">
        <v>96</v>
      </c>
      <c r="D36" s="18" t="s">
        <v>26</v>
      </c>
      <c r="E36" s="22">
        <v>1117000</v>
      </c>
      <c r="F36" s="19">
        <v>18280.82</v>
      </c>
      <c r="G36" s="19">
        <v>1.1399999999999999</v>
      </c>
      <c r="H36" s="19" t="s">
        <v>18</v>
      </c>
    </row>
    <row r="37" spans="2:8">
      <c r="B37" s="21" t="s">
        <v>97</v>
      </c>
      <c r="C37" s="18" t="s">
        <v>98</v>
      </c>
      <c r="D37" s="18" t="s">
        <v>92</v>
      </c>
      <c r="E37" s="22">
        <v>3726703</v>
      </c>
      <c r="F37" s="19">
        <v>17737.240000000002</v>
      </c>
      <c r="G37" s="19">
        <v>1.1100000000000001</v>
      </c>
      <c r="H37" s="19" t="s">
        <v>18</v>
      </c>
    </row>
    <row r="38" spans="2:8">
      <c r="B38" s="21" t="s">
        <v>99</v>
      </c>
      <c r="C38" s="18" t="s">
        <v>100</v>
      </c>
      <c r="D38" s="18" t="s">
        <v>52</v>
      </c>
      <c r="E38" s="22">
        <v>311697</v>
      </c>
      <c r="F38" s="19">
        <v>17590.62</v>
      </c>
      <c r="G38" s="19">
        <v>1.1000000000000001</v>
      </c>
      <c r="H38" s="19" t="s">
        <v>18</v>
      </c>
    </row>
    <row r="39" spans="2:8">
      <c r="B39" s="21" t="s">
        <v>101</v>
      </c>
      <c r="C39" s="18" t="s">
        <v>102</v>
      </c>
      <c r="D39" s="18" t="s">
        <v>65</v>
      </c>
      <c r="E39" s="22">
        <v>251665</v>
      </c>
      <c r="F39" s="19">
        <v>16640.09</v>
      </c>
      <c r="G39" s="19">
        <v>1.04</v>
      </c>
      <c r="H39" s="19" t="s">
        <v>18</v>
      </c>
    </row>
    <row r="40" spans="2:8">
      <c r="B40" s="21" t="s">
        <v>103</v>
      </c>
      <c r="C40" s="18" t="s">
        <v>104</v>
      </c>
      <c r="D40" s="18" t="s">
        <v>62</v>
      </c>
      <c r="E40" s="22">
        <v>3850000</v>
      </c>
      <c r="F40" s="19">
        <v>15122.8</v>
      </c>
      <c r="G40" s="19">
        <v>0.94</v>
      </c>
      <c r="H40" s="19" t="s">
        <v>18</v>
      </c>
    </row>
    <row r="41" spans="2:8">
      <c r="B41" s="21" t="s">
        <v>105</v>
      </c>
      <c r="C41" s="18" t="s">
        <v>106</v>
      </c>
      <c r="D41" s="18" t="s">
        <v>49</v>
      </c>
      <c r="E41" s="22">
        <v>622800</v>
      </c>
      <c r="F41" s="19">
        <v>14625.21</v>
      </c>
      <c r="G41" s="19">
        <v>0.91</v>
      </c>
      <c r="H41" s="19" t="s">
        <v>18</v>
      </c>
    </row>
    <row r="42" spans="2:8">
      <c r="B42" s="21" t="s">
        <v>107</v>
      </c>
      <c r="C42" s="18" t="s">
        <v>108</v>
      </c>
      <c r="D42" s="18" t="s">
        <v>109</v>
      </c>
      <c r="E42" s="22">
        <v>2054160</v>
      </c>
      <c r="F42" s="19">
        <v>14105.92</v>
      </c>
      <c r="G42" s="19">
        <v>0.88</v>
      </c>
      <c r="H42" s="19" t="s">
        <v>18</v>
      </c>
    </row>
    <row r="43" spans="2:8">
      <c r="B43" s="21" t="s">
        <v>110</v>
      </c>
      <c r="C43" s="18" t="s">
        <v>111</v>
      </c>
      <c r="D43" s="18" t="s">
        <v>112</v>
      </c>
      <c r="E43" s="22">
        <v>1347077</v>
      </c>
      <c r="F43" s="19">
        <v>13560.35</v>
      </c>
      <c r="G43" s="19">
        <v>0.85</v>
      </c>
      <c r="H43" s="19" t="s">
        <v>79</v>
      </c>
    </row>
    <row r="44" spans="2:8">
      <c r="B44" s="21" t="s">
        <v>113</v>
      </c>
      <c r="C44" s="18" t="s">
        <v>114</v>
      </c>
      <c r="D44" s="18" t="s">
        <v>115</v>
      </c>
      <c r="E44" s="22">
        <v>723481</v>
      </c>
      <c r="F44" s="19">
        <v>12744.84</v>
      </c>
      <c r="G44" s="19">
        <v>0.8</v>
      </c>
      <c r="H44" s="19" t="s">
        <v>79</v>
      </c>
    </row>
    <row r="45" spans="2:8">
      <c r="B45" s="21" t="s">
        <v>116</v>
      </c>
      <c r="C45" s="18" t="s">
        <v>117</v>
      </c>
      <c r="D45" s="18" t="s">
        <v>118</v>
      </c>
      <c r="E45" s="22">
        <v>311996</v>
      </c>
      <c r="F45" s="19">
        <v>11929.79</v>
      </c>
      <c r="G45" s="19">
        <v>0.74</v>
      </c>
      <c r="H45" s="19" t="s">
        <v>79</v>
      </c>
    </row>
    <row r="46" spans="2:8">
      <c r="B46" s="21" t="s">
        <v>119</v>
      </c>
      <c r="C46" s="18" t="s">
        <v>120</v>
      </c>
      <c r="D46" s="18" t="s">
        <v>121</v>
      </c>
      <c r="E46" s="22">
        <v>1521957</v>
      </c>
      <c r="F46" s="19">
        <v>11716.79</v>
      </c>
      <c r="G46" s="19">
        <v>0.73</v>
      </c>
      <c r="H46" s="19" t="s">
        <v>79</v>
      </c>
    </row>
    <row r="47" spans="2:8">
      <c r="B47" s="21" t="s">
        <v>122</v>
      </c>
      <c r="C47" s="18" t="s">
        <v>123</v>
      </c>
      <c r="D47" s="18" t="s">
        <v>82</v>
      </c>
      <c r="E47" s="22">
        <v>595000</v>
      </c>
      <c r="F47" s="19">
        <v>11158.63</v>
      </c>
      <c r="G47" s="19">
        <v>0.7</v>
      </c>
      <c r="H47" s="19" t="s">
        <v>79</v>
      </c>
    </row>
    <row r="48" spans="2:8">
      <c r="B48" s="21" t="s">
        <v>124</v>
      </c>
      <c r="C48" s="18" t="s">
        <v>125</v>
      </c>
      <c r="D48" s="18" t="s">
        <v>112</v>
      </c>
      <c r="E48" s="22">
        <v>7250000</v>
      </c>
      <c r="F48" s="19">
        <v>11101.2</v>
      </c>
      <c r="G48" s="19">
        <v>0.69</v>
      </c>
      <c r="H48" s="19" t="s">
        <v>18</v>
      </c>
    </row>
    <row r="49" spans="2:8">
      <c r="B49" s="21" t="s">
        <v>126</v>
      </c>
      <c r="C49" s="18" t="s">
        <v>127</v>
      </c>
      <c r="D49" s="18" t="s">
        <v>65</v>
      </c>
      <c r="E49" s="22">
        <v>34824</v>
      </c>
      <c r="F49" s="19">
        <v>10605.65</v>
      </c>
      <c r="G49" s="19">
        <v>0.66</v>
      </c>
      <c r="H49" s="19" t="s">
        <v>79</v>
      </c>
    </row>
    <row r="50" spans="2:8">
      <c r="B50" s="21" t="s">
        <v>128</v>
      </c>
      <c r="C50" s="18" t="s">
        <v>129</v>
      </c>
      <c r="D50" s="18" t="s">
        <v>41</v>
      </c>
      <c r="E50" s="22">
        <v>2450000</v>
      </c>
      <c r="F50" s="19">
        <v>9945.7800000000007</v>
      </c>
      <c r="G50" s="19">
        <v>0.62</v>
      </c>
      <c r="H50" s="19" t="s">
        <v>18</v>
      </c>
    </row>
    <row r="51" spans="2:8">
      <c r="B51" s="21" t="s">
        <v>130</v>
      </c>
      <c r="C51" s="18" t="s">
        <v>131</v>
      </c>
      <c r="D51" s="18" t="s">
        <v>132</v>
      </c>
      <c r="E51" s="22">
        <v>6050000</v>
      </c>
      <c r="F51" s="19">
        <v>9741.7099999999991</v>
      </c>
      <c r="G51" s="19">
        <v>0.61</v>
      </c>
      <c r="H51" s="19" t="s">
        <v>18</v>
      </c>
    </row>
    <row r="52" spans="2:8">
      <c r="B52" s="21" t="s">
        <v>133</v>
      </c>
      <c r="C52" s="18" t="s">
        <v>134</v>
      </c>
      <c r="D52" s="18" t="s">
        <v>52</v>
      </c>
      <c r="E52" s="22">
        <v>226854</v>
      </c>
      <c r="F52" s="19">
        <v>9078.92</v>
      </c>
      <c r="G52" s="19">
        <v>0.56999999999999995</v>
      </c>
      <c r="H52" s="19" t="s">
        <v>18</v>
      </c>
    </row>
    <row r="53" spans="2:8">
      <c r="B53" s="21" t="s">
        <v>135</v>
      </c>
      <c r="C53" s="18" t="s">
        <v>136</v>
      </c>
      <c r="D53" s="18" t="s">
        <v>65</v>
      </c>
      <c r="E53" s="22">
        <v>595000</v>
      </c>
      <c r="F53" s="19">
        <v>8720.92</v>
      </c>
      <c r="G53" s="19">
        <v>0.54</v>
      </c>
      <c r="H53" s="19" t="s">
        <v>18</v>
      </c>
    </row>
    <row r="54" spans="2:8">
      <c r="B54" s="21" t="s">
        <v>137</v>
      </c>
      <c r="C54" s="18" t="s">
        <v>138</v>
      </c>
      <c r="D54" s="18" t="s">
        <v>139</v>
      </c>
      <c r="E54" s="22">
        <v>1376000</v>
      </c>
      <c r="F54" s="19">
        <v>8716.9599999999991</v>
      </c>
      <c r="G54" s="19">
        <v>0.54</v>
      </c>
      <c r="H54" s="19" t="s">
        <v>18</v>
      </c>
    </row>
    <row r="55" spans="2:8">
      <c r="B55" s="21" t="s">
        <v>140</v>
      </c>
      <c r="C55" s="18" t="s">
        <v>141</v>
      </c>
      <c r="D55" s="18" t="s">
        <v>65</v>
      </c>
      <c r="E55" s="22">
        <v>243200</v>
      </c>
      <c r="F55" s="19">
        <v>7720.87</v>
      </c>
      <c r="G55" s="19">
        <v>0.48</v>
      </c>
      <c r="H55" s="19" t="s">
        <v>18</v>
      </c>
    </row>
    <row r="56" spans="2:8">
      <c r="B56" s="21" t="s">
        <v>142</v>
      </c>
      <c r="C56" s="18" t="s">
        <v>143</v>
      </c>
      <c r="D56" s="18" t="s">
        <v>144</v>
      </c>
      <c r="E56" s="22">
        <v>430000</v>
      </c>
      <c r="F56" s="19">
        <v>7509.09</v>
      </c>
      <c r="G56" s="19">
        <v>0.47</v>
      </c>
      <c r="H56" s="19" t="s">
        <v>79</v>
      </c>
    </row>
    <row r="57" spans="2:8">
      <c r="B57" s="21" t="s">
        <v>145</v>
      </c>
      <c r="C57" s="18" t="s">
        <v>146</v>
      </c>
      <c r="D57" s="18" t="s">
        <v>147</v>
      </c>
      <c r="E57" s="22">
        <v>248140</v>
      </c>
      <c r="F57" s="19">
        <v>7099.29</v>
      </c>
      <c r="G57" s="19">
        <v>0.44</v>
      </c>
      <c r="H57" s="19" t="s">
        <v>79</v>
      </c>
    </row>
    <row r="58" spans="2:8">
      <c r="B58" s="21" t="s">
        <v>148</v>
      </c>
      <c r="C58" s="18" t="s">
        <v>149</v>
      </c>
      <c r="D58" s="18" t="s">
        <v>35</v>
      </c>
      <c r="E58" s="22">
        <v>225000</v>
      </c>
      <c r="F58" s="19">
        <v>6256.8</v>
      </c>
      <c r="G58" s="19">
        <v>0.39</v>
      </c>
      <c r="H58" s="19" t="s">
        <v>18</v>
      </c>
    </row>
    <row r="59" spans="2:8">
      <c r="B59" s="21" t="s">
        <v>150</v>
      </c>
      <c r="C59" s="18" t="s">
        <v>151</v>
      </c>
      <c r="D59" s="18" t="s">
        <v>112</v>
      </c>
      <c r="E59" s="22">
        <v>997302</v>
      </c>
      <c r="F59" s="19">
        <v>5424.82</v>
      </c>
      <c r="G59" s="19">
        <v>0.34</v>
      </c>
      <c r="H59" s="19" t="s">
        <v>79</v>
      </c>
    </row>
    <row r="60" spans="2:8">
      <c r="B60" s="21" t="s">
        <v>152</v>
      </c>
      <c r="C60" s="18" t="s">
        <v>153</v>
      </c>
      <c r="D60" s="18" t="s">
        <v>62</v>
      </c>
      <c r="E60" s="22">
        <v>4562694</v>
      </c>
      <c r="F60" s="19">
        <v>5076.45</v>
      </c>
      <c r="G60" s="19">
        <v>0.32</v>
      </c>
      <c r="H60" s="19" t="s">
        <v>18</v>
      </c>
    </row>
    <row r="61" spans="2:8">
      <c r="B61" s="21" t="s">
        <v>154</v>
      </c>
      <c r="C61" s="18" t="s">
        <v>155</v>
      </c>
      <c r="D61" s="18" t="s">
        <v>156</v>
      </c>
      <c r="E61" s="22">
        <v>10646</v>
      </c>
      <c r="F61" s="19">
        <v>4937.6099999999997</v>
      </c>
      <c r="G61" s="19">
        <v>0.31</v>
      </c>
      <c r="H61" s="19" t="s">
        <v>79</v>
      </c>
    </row>
    <row r="62" spans="2:8">
      <c r="B62" s="21" t="s">
        <v>157</v>
      </c>
      <c r="C62" s="18" t="s">
        <v>158</v>
      </c>
      <c r="D62" s="18" t="s">
        <v>65</v>
      </c>
      <c r="E62" s="22">
        <v>150000</v>
      </c>
      <c r="F62" s="19">
        <v>1876.8</v>
      </c>
      <c r="G62" s="19">
        <v>0.12</v>
      </c>
      <c r="H62" s="19" t="s">
        <v>18</v>
      </c>
    </row>
    <row r="63" spans="2:8">
      <c r="B63" s="21" t="s">
        <v>159</v>
      </c>
      <c r="C63" s="18" t="s">
        <v>160</v>
      </c>
      <c r="D63" s="18" t="s">
        <v>35</v>
      </c>
      <c r="E63" s="22">
        <v>200000</v>
      </c>
      <c r="F63" s="19">
        <v>1439</v>
      </c>
      <c r="G63" s="19">
        <v>0.09</v>
      </c>
      <c r="H63" s="19" t="s">
        <v>18</v>
      </c>
    </row>
    <row r="64" spans="2:8">
      <c r="B64" s="21" t="s">
        <v>161</v>
      </c>
      <c r="C64" s="18" t="s">
        <v>162</v>
      </c>
      <c r="D64" s="18" t="s">
        <v>121</v>
      </c>
      <c r="E64" s="22">
        <v>500000</v>
      </c>
      <c r="F64" s="19">
        <v>1082.3499999999999</v>
      </c>
      <c r="G64" s="19">
        <v>7.0000000000000007E-2</v>
      </c>
      <c r="H64" s="19" t="s">
        <v>79</v>
      </c>
    </row>
    <row r="65" spans="2:8">
      <c r="B65" s="21" t="s">
        <v>163</v>
      </c>
      <c r="C65" s="18" t="s">
        <v>164</v>
      </c>
      <c r="D65" s="18" t="s">
        <v>52</v>
      </c>
      <c r="E65" s="22">
        <v>34205</v>
      </c>
      <c r="F65" s="19">
        <v>488.28</v>
      </c>
      <c r="G65" s="19">
        <v>0.03</v>
      </c>
      <c r="H65" s="19" t="s">
        <v>18</v>
      </c>
    </row>
    <row r="66" spans="2:8">
      <c r="B66" s="25" t="s">
        <v>165</v>
      </c>
      <c r="C66" s="26"/>
      <c r="D66" s="26"/>
      <c r="E66" s="26"/>
      <c r="F66" s="27">
        <f>SUM(F7:F65)</f>
        <v>1541293.5600000008</v>
      </c>
      <c r="G66" s="27">
        <f>SUM(G7:G65)</f>
        <v>96.17</v>
      </c>
      <c r="H66" s="27"/>
    </row>
    <row r="67" spans="2:8">
      <c r="B67" s="28" t="s">
        <v>166</v>
      </c>
      <c r="C67" s="28"/>
      <c r="D67" s="28"/>
      <c r="E67" s="28"/>
      <c r="F67" s="29">
        <f>F66</f>
        <v>1541293.5600000008</v>
      </c>
      <c r="G67" s="29">
        <f>G66</f>
        <v>96.17</v>
      </c>
      <c r="H67" s="29"/>
    </row>
    <row r="68" spans="2:8">
      <c r="B68" s="30" t="s">
        <v>167</v>
      </c>
      <c r="C68" s="31"/>
      <c r="D68" s="31"/>
      <c r="E68" s="31"/>
      <c r="F68" s="32"/>
      <c r="G68" s="32"/>
      <c r="H68" s="32"/>
    </row>
    <row r="69" spans="2:8">
      <c r="B69" s="21" t="s">
        <v>167</v>
      </c>
      <c r="C69" s="18"/>
      <c r="D69" s="18"/>
      <c r="E69" s="18"/>
      <c r="F69" s="19">
        <v>62826.15</v>
      </c>
      <c r="G69" s="19">
        <v>3.92</v>
      </c>
      <c r="H69" s="19"/>
    </row>
    <row r="70" spans="2:8">
      <c r="B70" s="25" t="s">
        <v>165</v>
      </c>
      <c r="C70" s="26"/>
      <c r="D70" s="26"/>
      <c r="E70" s="26"/>
      <c r="F70" s="27">
        <f>SUM(F68:F69)</f>
        <v>62826.15</v>
      </c>
      <c r="G70" s="27">
        <f>SUM(G68:G69)</f>
        <v>3.92</v>
      </c>
      <c r="H70" s="27"/>
    </row>
    <row r="71" spans="2:8">
      <c r="B71" s="33" t="s">
        <v>166</v>
      </c>
      <c r="C71" s="33"/>
      <c r="D71" s="33"/>
      <c r="E71" s="33"/>
      <c r="F71" s="34">
        <f>F70</f>
        <v>62826.15</v>
      </c>
      <c r="G71" s="34">
        <f>G70</f>
        <v>3.92</v>
      </c>
      <c r="H71" s="34"/>
    </row>
    <row r="72" spans="2:8">
      <c r="B72" s="35" t="s">
        <v>168</v>
      </c>
      <c r="C72" s="35"/>
      <c r="D72" s="35"/>
      <c r="E72" s="35"/>
      <c r="F72" s="36">
        <f>F73-(+F67+F71)</f>
        <v>-1460.2900000007357</v>
      </c>
      <c r="G72" s="36">
        <f>G73-(+G67+G71)</f>
        <v>-9.0000000000003411E-2</v>
      </c>
      <c r="H72" s="36"/>
    </row>
    <row r="73" spans="2:8">
      <c r="B73" s="35" t="s">
        <v>169</v>
      </c>
      <c r="C73" s="35"/>
      <c r="D73" s="35"/>
      <c r="E73" s="35"/>
      <c r="F73" s="36">
        <v>1602659.42</v>
      </c>
      <c r="G73" s="36">
        <v>100</v>
      </c>
      <c r="H73" s="36"/>
    </row>
    <row r="75" spans="2:8" ht="12" thickBot="1">
      <c r="B75" s="37"/>
    </row>
    <row r="76" spans="2:8" ht="12.5" thickTop="1" thickBot="1">
      <c r="B76" s="39" t="s">
        <v>170</v>
      </c>
      <c r="C76" s="40" t="s">
        <v>171</v>
      </c>
    </row>
    <row r="77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11:26:03</KDate>
  <Classification>Public</Classification>
  <Subclassification/>
  <HostName>MUMCMP01346</HostName>
  <Domain_User>CANARAROBECOMF/396</Domain_User>
  <IPAdd>192.9.198.198</IPAdd>
  <FilePath>Book6</FilePath>
  <KID>1098191A8D7D638850651639334980</KID>
  <UniqueName/>
  <Suggested/>
  <Justification/>
</Klassify>
</file>

<file path=customXml/itemProps1.xml><?xml version="1.0" encoding="utf-8"?>
<ds:datastoreItem xmlns:ds="http://schemas.openxmlformats.org/officeDocument/2006/customXml" ds:itemID="{D92D4E48-3D4D-4CD2-A1DA-BE319BD8EB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2025-06-09T05:56:00Z</dcterms:created>
  <dcterms:modified xsi:type="dcterms:W3CDTF">2025-06-09T05:56:04Z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1098191A8D7D638850651639334980</vt:lpwstr>
  </property>
</Properties>
</file>