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5FCF9DAD-C280-46BC-8F94-6B185704645C}" xr6:coauthVersionLast="47" xr6:coauthVersionMax="47" xr10:uidLastSave="{00000000-0000-0000-0000-000000000000}"/>
  <bookViews>
    <workbookView xWindow="-110" yWindow="-110" windowWidth="19420" windowHeight="10300" xr2:uid="{2FFBDB72-4A84-40BF-A6FC-717B69E620D5}"/>
  </bookViews>
  <sheets>
    <sheet name="F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" l="1"/>
  <c r="G67" i="1" s="1"/>
  <c r="F66" i="1"/>
  <c r="F67" i="1" s="1"/>
  <c r="G63" i="1"/>
  <c r="F63" i="1"/>
  <c r="G60" i="1"/>
  <c r="F60" i="1"/>
  <c r="G54" i="1"/>
  <c r="F54" i="1"/>
  <c r="G49" i="1"/>
  <c r="F49" i="1"/>
  <c r="G45" i="1"/>
  <c r="G55" i="1" s="1"/>
  <c r="F45" i="1"/>
  <c r="F55" i="1" s="1"/>
  <c r="G30" i="1"/>
  <c r="G68" i="1" s="1"/>
  <c r="G29" i="1"/>
  <c r="F29" i="1"/>
  <c r="F30" i="1" s="1"/>
  <c r="F6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<sst xmlns="http://schemas.openxmlformats.org/spreadsheetml/2006/main" count="180" uniqueCount="136">
  <si>
    <t>CANARA ROBECO SAVINGS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</si>
  <si>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</si>
  <si>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</si>
  <si>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</si>
  <si>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</si>
  <si>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</si>
  <si>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</si>
  <si>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</si>
  <si>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</si>
  <si>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May'25</t>
  </si>
  <si>
    <t>Benchmark Risk-O-Meter Level- May'25</t>
  </si>
  <si>
    <t>Scheme Risk-O-Meter Level- April'25</t>
  </si>
  <si>
    <t>Benchmark Risk-O-Meter Level- April'25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</si>
  <si>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</si>
  <si>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</si>
  <si>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</si>
  <si>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</si>
  <si>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</si>
  <si>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</si>
  <si>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</si>
  <si>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</si>
  <si>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7.80% National Bank For Agriculture &amp; Rural Development (15/03/2027)</t>
  </si>
  <si>
    <t>INE261F08EF5</t>
  </si>
  <si>
    <t>ICRA AAA</t>
  </si>
  <si>
    <t>Relatively Low (Class I)</t>
  </si>
  <si>
    <t>B-I</t>
  </si>
  <si>
    <t>7.84% HDB Financial Services Ltd (14/07/2026) **</t>
  </si>
  <si>
    <t>INE756I07EN4</t>
  </si>
  <si>
    <t>CRISIL AAA</t>
  </si>
  <si>
    <t>7.55% Small Industries Development Bank Of India (22/09/2026) **</t>
  </si>
  <si>
    <t>INE556F08KJ7</t>
  </si>
  <si>
    <t>Moderate 
(Class II)</t>
  </si>
  <si>
    <t>7.13% Power Finance Corporation Ltd (15/07/2026)</t>
  </si>
  <si>
    <t>INE134E08LP1</t>
  </si>
  <si>
    <t>7.83% Bajaj Housing Finance Ltd (12/12/2025) **</t>
  </si>
  <si>
    <t>INE377Y07391</t>
  </si>
  <si>
    <t>Relatively High (Class III)</t>
  </si>
  <si>
    <t>7.70% REC Ltd (31/08/2026) **</t>
  </si>
  <si>
    <t>INE020B08FC8</t>
  </si>
  <si>
    <t>7.65% HDB Financial Services Ltd (10/09/2027) **</t>
  </si>
  <si>
    <t>INE756I07EJ2</t>
  </si>
  <si>
    <t>Benchmark: CRISIL Low Duration Debt A-I Index</t>
  </si>
  <si>
    <t>7.44% REC Ltd (29/02/2028)</t>
  </si>
  <si>
    <t>INE020B08FR6</t>
  </si>
  <si>
    <t>7.86% LIC Housing Finance Ltd (17/05/2027) **</t>
  </si>
  <si>
    <t>INE115A07LU0</t>
  </si>
  <si>
    <t>7.74% LIC Housing Finance Ltd (22/10/2027) **</t>
  </si>
  <si>
    <t>INE115A07QZ8</t>
  </si>
  <si>
    <t>7.98% Bajaj Housing Finance Ltd (09/09/2026) **</t>
  </si>
  <si>
    <t>INE377Y07490</t>
  </si>
  <si>
    <t>8.09% Kotak Mahindra Prime Ltd (09/11/2026) **</t>
  </si>
  <si>
    <t>INE916DA7SL3</t>
  </si>
  <si>
    <t>7.55% REC Ltd (31/10/2026) **</t>
  </si>
  <si>
    <t>INE020B08FH7</t>
  </si>
  <si>
    <t>7.69% LIC Housing Finance Ltd (11/12/2026) **</t>
  </si>
  <si>
    <t>INE115A07RA9</t>
  </si>
  <si>
    <t>7.41% Indian Railway Finance Corporation Ltd (15/10/2026) **</t>
  </si>
  <si>
    <t>INE053F08312</t>
  </si>
  <si>
    <t>7.50% National Bank For Agriculture &amp; Rural Development (31/08/2026)</t>
  </si>
  <si>
    <t>INE261F08EA6</t>
  </si>
  <si>
    <t>7.37% Kotak Mahindra Prime Ltd (16/09/2025) **</t>
  </si>
  <si>
    <t>INE916DA7RT8</t>
  </si>
  <si>
    <t>6.09% Power Finance Corporation Ltd (27/08/2026) **</t>
  </si>
  <si>
    <t>INE134E08LK2</t>
  </si>
  <si>
    <t>7.59% Power Finance Corporation Ltd (03/11/2025) **</t>
  </si>
  <si>
    <t>INE134E08LU1</t>
  </si>
  <si>
    <t>7.90% Bajaj Finance Ltd (17/11/2025) **</t>
  </si>
  <si>
    <t>INE296A07SF4</t>
  </si>
  <si>
    <t>7.59% Small Industries Development Bank Of India (10/02/2026) **</t>
  </si>
  <si>
    <t>INE556F08KG3</t>
  </si>
  <si>
    <t>8.04% HDB Financial Services Ltd (25/02/2026)</t>
  </si>
  <si>
    <t>INE756I07EL8</t>
  </si>
  <si>
    <t>Sub Total</t>
  </si>
  <si>
    <t>Total</t>
  </si>
  <si>
    <t>Money Market Instruments</t>
  </si>
  <si>
    <t>Certificate of Deposit</t>
  </si>
  <si>
    <t>Punjab National Bank (18/03/2026) ** #</t>
  </si>
  <si>
    <t>INE160A16RK5</t>
  </si>
  <si>
    <t>CARE A1+</t>
  </si>
  <si>
    <t>Indian Bank (04/12/2025) #</t>
  </si>
  <si>
    <t>INE562A16NQ8</t>
  </si>
  <si>
    <t>CRISIL A1+</t>
  </si>
  <si>
    <t>Kotak Mahindra Bank Ltd (11/12/2025) #</t>
  </si>
  <si>
    <t>INE237A160Z6</t>
  </si>
  <si>
    <t>Axis Bank Ltd (09/09/2025) #</t>
  </si>
  <si>
    <t>INE238AD6918</t>
  </si>
  <si>
    <t>HDFC Bank Ltd (19/09/2025) ** #</t>
  </si>
  <si>
    <t>INE040A16FM0</t>
  </si>
  <si>
    <t>ICICI Bank Ltd (14/11/2025) #</t>
  </si>
  <si>
    <t>INE090AD6204</t>
  </si>
  <si>
    <t>ICRA A1+</t>
  </si>
  <si>
    <t>National Bank For Agriculture &amp; Rural Development (17/02/2026) ** #</t>
  </si>
  <si>
    <t>INE261F16959</t>
  </si>
  <si>
    <t>IND A1+</t>
  </si>
  <si>
    <t>Union Bank of India (05/03/2026) ** #</t>
  </si>
  <si>
    <t>INE692A16IY7</t>
  </si>
  <si>
    <t>Indian Bank (12/03/2026) ** #</t>
  </si>
  <si>
    <t>INE562A16OI3</t>
  </si>
  <si>
    <t>Kotak Mahindra Bank Ltd (13/03/2026) ** #</t>
  </si>
  <si>
    <t>INE237A167Z1</t>
  </si>
  <si>
    <t>HDFC Bank Ltd (12/03/2026) ** #</t>
  </si>
  <si>
    <t>INE040A16GN6</t>
  </si>
  <si>
    <t>HDFC Bank Ltd (24/03/2026) ** #</t>
  </si>
  <si>
    <t>INE040A16GS5</t>
  </si>
  <si>
    <t>Commercial Paper</t>
  </si>
  <si>
    <t>ICICI Securities Ltd (27/02/2026) **</t>
  </si>
  <si>
    <t>INE763G14XI0</t>
  </si>
  <si>
    <t>ICICI Securities Ltd (11/03/2026) **</t>
  </si>
  <si>
    <t>INE763G14XP5</t>
  </si>
  <si>
    <t>Treasury Bill</t>
  </si>
  <si>
    <t>182 DTB (29-AUG-2025)</t>
  </si>
  <si>
    <t>IN002024Y464</t>
  </si>
  <si>
    <t xml:space="preserve"> Sovereign</t>
  </si>
  <si>
    <t>182 DTB (04-SEP-2025)</t>
  </si>
  <si>
    <t>IN002024Y472</t>
  </si>
  <si>
    <t>364 DTB (24-JUL-2025)</t>
  </si>
  <si>
    <t>IN002024Z172</t>
  </si>
  <si>
    <t>Government Bonds</t>
  </si>
  <si>
    <t>0.00% GOI 19-SEP-26</t>
  </si>
  <si>
    <t>IN000926C047</t>
  </si>
  <si>
    <t>Sovereign</t>
  </si>
  <si>
    <t>6.75% GOI (23/12/2029)</t>
  </si>
  <si>
    <t>IN0020240183</t>
  </si>
  <si>
    <t>GOI FRB 2033 (22-SEP-2033)</t>
  </si>
  <si>
    <t>IN0020200120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</si>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</sst>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164" fontId="3" fillId="3" borderId="0" xfId="1" applyFont="1" applyFill="1" applyAlignment="1"/>
    <xf numFmtId="164" fontId="3" fillId="3" borderId="0" xfId="1" applyFont="1" applyFill="1"/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041E-27DF-473B-8F24-5BE3F9812D93}">
  <dimension ref="B1:R79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58.26953125" style="3" bestFit="1" customWidth="1"/>
    <col min="3" max="3" width="13.54296875" style="3" bestFit="1" customWidth="1"/>
    <col min="4" max="4" width="22.816406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9.1796875" style="3"/>
    <col min="15" max="15" width="12.81640625" style="3" customWidth="1"/>
    <col min="16" max="16384" width="9.1796875" style="3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" thickBot="1">
      <c r="B3" s="4" t="s">
        <v>1</v>
      </c>
      <c r="C3" s="5"/>
      <c r="D3" s="6"/>
      <c r="E3" s="6"/>
      <c r="F3" s="7"/>
      <c r="G3" s="7"/>
    </row>
    <row r="4" spans="2:18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0" t="e" vm="2">
        <v>#VALUE!</v>
      </c>
      <c r="L5" s="20" t="e" vm="1">
        <v>#VALUE!</v>
      </c>
      <c r="M5" s="20" t="e" vm="2">
        <v>#VALUE!</v>
      </c>
      <c r="O5" s="21" t="s">
        <v>15</v>
      </c>
      <c r="P5" s="22" t="s">
        <v>16</v>
      </c>
      <c r="Q5" s="22" t="s">
        <v>17</v>
      </c>
      <c r="R5" s="22" t="s">
        <v>18</v>
      </c>
    </row>
    <row r="6" spans="2:18" ht="23">
      <c r="B6" s="23" t="s">
        <v>19</v>
      </c>
      <c r="C6" s="24"/>
      <c r="D6" s="24"/>
      <c r="E6" s="24"/>
      <c r="F6" s="25"/>
      <c r="G6" s="25"/>
      <c r="H6" s="25"/>
      <c r="J6" s="20"/>
      <c r="K6" s="20"/>
      <c r="L6" s="20"/>
      <c r="M6" s="20"/>
      <c r="O6" s="26" t="s">
        <v>20</v>
      </c>
      <c r="P6" s="22"/>
      <c r="Q6" s="22"/>
      <c r="R6" s="22"/>
    </row>
    <row r="7" spans="2:18">
      <c r="B7" s="24" t="s">
        <v>21</v>
      </c>
      <c r="C7" s="24" t="s">
        <v>22</v>
      </c>
      <c r="D7" s="24" t="s">
        <v>23</v>
      </c>
      <c r="E7" s="27">
        <v>7500</v>
      </c>
      <c r="F7" s="25">
        <v>7647.38</v>
      </c>
      <c r="G7" s="25">
        <v>5.67</v>
      </c>
      <c r="H7" s="25">
        <v>6.57</v>
      </c>
      <c r="J7" s="20"/>
      <c r="K7" s="20"/>
      <c r="L7" s="20"/>
      <c r="M7" s="20"/>
      <c r="O7" s="28" t="s">
        <v>24</v>
      </c>
      <c r="P7" s="29"/>
      <c r="Q7" s="30" t="s">
        <v>25</v>
      </c>
      <c r="R7" s="29"/>
    </row>
    <row r="8" spans="2:18">
      <c r="B8" s="24" t="s">
        <v>26</v>
      </c>
      <c r="C8" s="24" t="s">
        <v>27</v>
      </c>
      <c r="D8" s="24" t="s">
        <v>28</v>
      </c>
      <c r="E8" s="27">
        <v>600</v>
      </c>
      <c r="F8" s="25">
        <v>6035.51</v>
      </c>
      <c r="G8" s="25">
        <v>4.47</v>
      </c>
      <c r="H8" s="25">
        <v>7.24</v>
      </c>
      <c r="J8" s="20"/>
      <c r="K8" s="20"/>
      <c r="L8" s="20"/>
      <c r="M8" s="20"/>
      <c r="O8" s="28"/>
      <c r="P8" s="31"/>
      <c r="Q8" s="32"/>
      <c r="R8" s="31"/>
    </row>
    <row r="9" spans="2:18">
      <c r="B9" s="24" t="s">
        <v>29</v>
      </c>
      <c r="C9" s="24" t="s">
        <v>30</v>
      </c>
      <c r="D9" s="24" t="s">
        <v>28</v>
      </c>
      <c r="E9" s="27">
        <v>5000</v>
      </c>
      <c r="F9" s="25">
        <v>5054.6400000000003</v>
      </c>
      <c r="G9" s="25">
        <v>3.74</v>
      </c>
      <c r="H9" s="25">
        <v>6.61</v>
      </c>
      <c r="J9" s="20"/>
      <c r="K9" s="20"/>
      <c r="L9" s="20"/>
      <c r="M9" s="20"/>
      <c r="O9" s="28" t="s">
        <v>31</v>
      </c>
      <c r="P9" s="29"/>
      <c r="Q9" s="29"/>
      <c r="R9" s="29"/>
    </row>
    <row r="10" spans="2:18">
      <c r="B10" s="24" t="s">
        <v>32</v>
      </c>
      <c r="C10" s="24" t="s">
        <v>33</v>
      </c>
      <c r="D10" s="24" t="s">
        <v>28</v>
      </c>
      <c r="E10" s="27">
        <v>500</v>
      </c>
      <c r="F10" s="25">
        <v>5029.41</v>
      </c>
      <c r="G10" s="25">
        <v>3.73</v>
      </c>
      <c r="H10" s="25">
        <v>6.55</v>
      </c>
      <c r="J10" s="20"/>
      <c r="K10" s="20"/>
      <c r="L10" s="20"/>
      <c r="M10" s="20"/>
      <c r="O10" s="28"/>
      <c r="P10" s="31"/>
      <c r="Q10" s="31"/>
      <c r="R10" s="31"/>
    </row>
    <row r="11" spans="2:18">
      <c r="B11" s="24" t="s">
        <v>34</v>
      </c>
      <c r="C11" s="24" t="s">
        <v>35</v>
      </c>
      <c r="D11" s="24" t="s">
        <v>28</v>
      </c>
      <c r="E11" s="27">
        <v>500</v>
      </c>
      <c r="F11" s="25">
        <v>5021.13</v>
      </c>
      <c r="G11" s="25">
        <v>3.72</v>
      </c>
      <c r="H11" s="25">
        <v>6.76</v>
      </c>
      <c r="J11" s="20"/>
      <c r="K11" s="20"/>
      <c r="L11" s="20"/>
      <c r="M11" s="20"/>
      <c r="O11" s="28" t="s">
        <v>36</v>
      </c>
      <c r="P11" s="29"/>
      <c r="Q11" s="29"/>
      <c r="R11" s="29"/>
    </row>
    <row r="12" spans="2:18">
      <c r="B12" s="24" t="s">
        <v>37</v>
      </c>
      <c r="C12" s="24" t="s">
        <v>38</v>
      </c>
      <c r="D12" s="24" t="s">
        <v>23</v>
      </c>
      <c r="E12" s="27">
        <v>3500</v>
      </c>
      <c r="F12" s="25">
        <v>3544.13</v>
      </c>
      <c r="G12" s="25">
        <v>2.63</v>
      </c>
      <c r="H12" s="25">
        <v>6.55</v>
      </c>
      <c r="J12" s="20"/>
      <c r="K12" s="20"/>
      <c r="L12" s="20"/>
      <c r="M12" s="20"/>
      <c r="O12" s="28"/>
      <c r="P12" s="31"/>
      <c r="Q12" s="31"/>
      <c r="R12" s="31"/>
    </row>
    <row r="13" spans="2:18">
      <c r="B13" s="24" t="s">
        <v>39</v>
      </c>
      <c r="C13" s="24" t="s">
        <v>40</v>
      </c>
      <c r="D13" s="24" t="s">
        <v>28</v>
      </c>
      <c r="E13" s="27">
        <v>300</v>
      </c>
      <c r="F13" s="25">
        <v>3019.4</v>
      </c>
      <c r="G13" s="25">
        <v>2.2400000000000002</v>
      </c>
      <c r="H13" s="25">
        <v>7.31</v>
      </c>
      <c r="J13" s="33"/>
      <c r="K13" s="3" t="s">
        <v>41</v>
      </c>
      <c r="L13" s="34"/>
      <c r="M13" s="34"/>
    </row>
    <row r="14" spans="2:18">
      <c r="B14" s="24" t="s">
        <v>42</v>
      </c>
      <c r="C14" s="24" t="s">
        <v>43</v>
      </c>
      <c r="D14" s="24" t="s">
        <v>28</v>
      </c>
      <c r="E14" s="27">
        <v>2500</v>
      </c>
      <c r="F14" s="25">
        <v>2553.4899999999998</v>
      </c>
      <c r="G14" s="25">
        <v>1.89</v>
      </c>
      <c r="H14" s="25">
        <v>6.55</v>
      </c>
    </row>
    <row r="15" spans="2:18">
      <c r="B15" s="24" t="s">
        <v>44</v>
      </c>
      <c r="C15" s="24" t="s">
        <v>45</v>
      </c>
      <c r="D15" s="24" t="s">
        <v>28</v>
      </c>
      <c r="E15" s="27">
        <v>250</v>
      </c>
      <c r="F15" s="25">
        <v>2547.3200000000002</v>
      </c>
      <c r="G15" s="25">
        <v>1.89</v>
      </c>
      <c r="H15" s="25">
        <v>6.79</v>
      </c>
    </row>
    <row r="16" spans="2:18">
      <c r="B16" s="24" t="s">
        <v>46</v>
      </c>
      <c r="C16" s="24" t="s">
        <v>47</v>
      </c>
      <c r="D16" s="24" t="s">
        <v>28</v>
      </c>
      <c r="E16" s="27">
        <v>2500</v>
      </c>
      <c r="F16" s="25">
        <v>2546.59</v>
      </c>
      <c r="G16" s="25">
        <v>1.89</v>
      </c>
      <c r="H16" s="25">
        <v>6.85</v>
      </c>
    </row>
    <row r="17" spans="2:9">
      <c r="B17" s="24" t="s">
        <v>48</v>
      </c>
      <c r="C17" s="24" t="s">
        <v>49</v>
      </c>
      <c r="D17" s="24" t="s">
        <v>28</v>
      </c>
      <c r="E17" s="27">
        <v>2500</v>
      </c>
      <c r="F17" s="25">
        <v>2532.9299999999998</v>
      </c>
      <c r="G17" s="25">
        <v>1.88</v>
      </c>
      <c r="H17" s="25">
        <v>6.82</v>
      </c>
    </row>
    <row r="18" spans="2:9">
      <c r="B18" s="24" t="s">
        <v>50</v>
      </c>
      <c r="C18" s="24" t="s">
        <v>51</v>
      </c>
      <c r="D18" s="24" t="s">
        <v>28</v>
      </c>
      <c r="E18" s="27">
        <v>2500</v>
      </c>
      <c r="F18" s="25">
        <v>2532.62</v>
      </c>
      <c r="G18" s="25">
        <v>1.88</v>
      </c>
      <c r="H18" s="25">
        <v>7.06</v>
      </c>
    </row>
    <row r="19" spans="2:9">
      <c r="B19" s="24" t="s">
        <v>52</v>
      </c>
      <c r="C19" s="24" t="s">
        <v>53</v>
      </c>
      <c r="D19" s="24" t="s">
        <v>28</v>
      </c>
      <c r="E19" s="27">
        <v>2500</v>
      </c>
      <c r="F19" s="25">
        <v>2531.35</v>
      </c>
      <c r="G19" s="25">
        <v>1.88</v>
      </c>
      <c r="H19" s="25">
        <v>6.55</v>
      </c>
    </row>
    <row r="20" spans="2:9">
      <c r="B20" s="24" t="s">
        <v>54</v>
      </c>
      <c r="C20" s="24" t="s">
        <v>55</v>
      </c>
      <c r="D20" s="24" t="s">
        <v>28</v>
      </c>
      <c r="E20" s="27">
        <v>2500</v>
      </c>
      <c r="F20" s="25">
        <v>2529.04</v>
      </c>
      <c r="G20" s="25">
        <v>1.87</v>
      </c>
      <c r="H20" s="25">
        <v>6.82</v>
      </c>
    </row>
    <row r="21" spans="2:9">
      <c r="B21" s="24" t="s">
        <v>56</v>
      </c>
      <c r="C21" s="24" t="s">
        <v>57</v>
      </c>
      <c r="D21" s="24" t="s">
        <v>28</v>
      </c>
      <c r="E21" s="27">
        <v>2500</v>
      </c>
      <c r="F21" s="25">
        <v>2527.92</v>
      </c>
      <c r="G21" s="25">
        <v>1.87</v>
      </c>
      <c r="H21" s="25">
        <v>6.55</v>
      </c>
    </row>
    <row r="22" spans="2:9">
      <c r="B22" s="24" t="s">
        <v>58</v>
      </c>
      <c r="C22" s="24" t="s">
        <v>59</v>
      </c>
      <c r="D22" s="24" t="s">
        <v>28</v>
      </c>
      <c r="E22" s="27">
        <v>2500</v>
      </c>
      <c r="F22" s="25">
        <v>2524.5</v>
      </c>
      <c r="G22" s="25">
        <v>1.87</v>
      </c>
      <c r="H22" s="25">
        <v>6.62</v>
      </c>
    </row>
    <row r="23" spans="2:9">
      <c r="B23" s="24" t="s">
        <v>60</v>
      </c>
      <c r="C23" s="24" t="s">
        <v>61</v>
      </c>
      <c r="D23" s="24" t="s">
        <v>28</v>
      </c>
      <c r="E23" s="27">
        <v>250</v>
      </c>
      <c r="F23" s="25">
        <v>2501.7800000000002</v>
      </c>
      <c r="G23" s="25">
        <v>1.85</v>
      </c>
      <c r="H23" s="25">
        <v>6.77</v>
      </c>
    </row>
    <row r="24" spans="2:9">
      <c r="B24" s="24" t="s">
        <v>62</v>
      </c>
      <c r="C24" s="24" t="s">
        <v>63</v>
      </c>
      <c r="D24" s="24" t="s">
        <v>28</v>
      </c>
      <c r="E24" s="27">
        <v>250</v>
      </c>
      <c r="F24" s="25">
        <v>2485.85</v>
      </c>
      <c r="G24" s="25">
        <v>1.84</v>
      </c>
      <c r="H24" s="25">
        <v>6.55</v>
      </c>
    </row>
    <row r="25" spans="2:9">
      <c r="B25" s="24" t="s">
        <v>64</v>
      </c>
      <c r="C25" s="24" t="s">
        <v>65</v>
      </c>
      <c r="D25" s="24" t="s">
        <v>28</v>
      </c>
      <c r="E25" s="27">
        <v>200</v>
      </c>
      <c r="F25" s="25">
        <v>2006.52</v>
      </c>
      <c r="G25" s="25">
        <v>1.49</v>
      </c>
      <c r="H25" s="25">
        <v>6.52</v>
      </c>
    </row>
    <row r="26" spans="2:9">
      <c r="B26" s="24" t="s">
        <v>66</v>
      </c>
      <c r="C26" s="24" t="s">
        <v>67</v>
      </c>
      <c r="D26" s="24" t="s">
        <v>28</v>
      </c>
      <c r="E26" s="27">
        <v>200</v>
      </c>
      <c r="F26" s="25">
        <v>2006.11</v>
      </c>
      <c r="G26" s="25">
        <v>1.49</v>
      </c>
      <c r="H26" s="25">
        <v>6.93</v>
      </c>
    </row>
    <row r="27" spans="2:9">
      <c r="B27" s="24" t="s">
        <v>68</v>
      </c>
      <c r="C27" s="24" t="s">
        <v>69</v>
      </c>
      <c r="D27" s="24" t="s">
        <v>28</v>
      </c>
      <c r="E27" s="27">
        <v>1000</v>
      </c>
      <c r="F27" s="25">
        <v>1006.11</v>
      </c>
      <c r="G27" s="25">
        <v>0.75</v>
      </c>
      <c r="H27" s="25">
        <v>6.6</v>
      </c>
    </row>
    <row r="28" spans="2:9">
      <c r="B28" s="24" t="s">
        <v>70</v>
      </c>
      <c r="C28" s="24" t="s">
        <v>71</v>
      </c>
      <c r="D28" s="24" t="s">
        <v>28</v>
      </c>
      <c r="E28" s="27">
        <v>50</v>
      </c>
      <c r="F28" s="25">
        <v>502.58</v>
      </c>
      <c r="G28" s="25">
        <v>0.37</v>
      </c>
      <c r="H28" s="25">
        <v>7.15</v>
      </c>
    </row>
    <row r="29" spans="2:9">
      <c r="B29" s="35" t="s">
        <v>72</v>
      </c>
      <c r="C29" s="35"/>
      <c r="D29" s="35"/>
      <c r="E29" s="35"/>
      <c r="F29" s="36">
        <f>SUM(F6:F28)</f>
        <v>68686.31</v>
      </c>
      <c r="G29" s="36">
        <f>SUM(G6:G28)</f>
        <v>50.910000000000004</v>
      </c>
      <c r="H29" s="37"/>
      <c r="I29" s="38"/>
    </row>
    <row r="30" spans="2:9">
      <c r="B30" s="39" t="s">
        <v>73</v>
      </c>
      <c r="C30" s="39"/>
      <c r="D30" s="39"/>
      <c r="E30" s="39"/>
      <c r="F30" s="40">
        <f>F29</f>
        <v>68686.31</v>
      </c>
      <c r="G30" s="40">
        <f>G29</f>
        <v>50.910000000000004</v>
      </c>
      <c r="H30" s="40"/>
      <c r="I30" s="38"/>
    </row>
    <row r="31" spans="2:9">
      <c r="B31" s="23" t="s">
        <v>74</v>
      </c>
      <c r="C31" s="24"/>
      <c r="D31" s="24"/>
      <c r="E31" s="24"/>
      <c r="F31" s="25"/>
      <c r="G31" s="25"/>
      <c r="H31" s="25"/>
    </row>
    <row r="32" spans="2:9">
      <c r="B32" s="23" t="s">
        <v>75</v>
      </c>
      <c r="C32" s="24"/>
      <c r="D32" s="24"/>
      <c r="E32" s="24"/>
      <c r="F32" s="25"/>
      <c r="G32" s="25"/>
      <c r="H32" s="25"/>
    </row>
    <row r="33" spans="2:9">
      <c r="B33" s="24" t="s">
        <v>76</v>
      </c>
      <c r="C33" s="24" t="s">
        <v>77</v>
      </c>
      <c r="D33" s="24" t="s">
        <v>78</v>
      </c>
      <c r="E33" s="27">
        <v>2000</v>
      </c>
      <c r="F33" s="25">
        <v>9516.11</v>
      </c>
      <c r="G33" s="25">
        <v>7.05</v>
      </c>
      <c r="H33" s="25">
        <v>6.4</v>
      </c>
    </row>
    <row r="34" spans="2:9">
      <c r="B34" s="24" t="s">
        <v>79</v>
      </c>
      <c r="C34" s="24" t="s">
        <v>80</v>
      </c>
      <c r="D34" s="24" t="s">
        <v>81</v>
      </c>
      <c r="E34" s="27">
        <v>1000</v>
      </c>
      <c r="F34" s="25">
        <v>4842.09</v>
      </c>
      <c r="G34" s="25">
        <v>3.59</v>
      </c>
      <c r="H34" s="25">
        <v>6.4</v>
      </c>
    </row>
    <row r="35" spans="2:9">
      <c r="B35" s="24" t="s">
        <v>82</v>
      </c>
      <c r="C35" s="24" t="s">
        <v>83</v>
      </c>
      <c r="D35" s="24" t="s">
        <v>81</v>
      </c>
      <c r="E35" s="27">
        <v>1000</v>
      </c>
      <c r="F35" s="25">
        <v>4836.21</v>
      </c>
      <c r="G35" s="25">
        <v>3.58</v>
      </c>
      <c r="H35" s="25">
        <v>6.41</v>
      </c>
    </row>
    <row r="36" spans="2:9">
      <c r="B36" s="24" t="s">
        <v>84</v>
      </c>
      <c r="C36" s="24" t="s">
        <v>85</v>
      </c>
      <c r="D36" s="24" t="s">
        <v>81</v>
      </c>
      <c r="E36" s="27">
        <v>500</v>
      </c>
      <c r="F36" s="25">
        <v>2457.7199999999998</v>
      </c>
      <c r="G36" s="25">
        <v>1.82</v>
      </c>
      <c r="H36" s="25">
        <v>6.28</v>
      </c>
    </row>
    <row r="37" spans="2:9">
      <c r="B37" s="24" t="s">
        <v>86</v>
      </c>
      <c r="C37" s="24" t="s">
        <v>87</v>
      </c>
      <c r="D37" s="24" t="s">
        <v>78</v>
      </c>
      <c r="E37" s="27">
        <v>500</v>
      </c>
      <c r="F37" s="25">
        <v>2453.6</v>
      </c>
      <c r="G37" s="25">
        <v>1.82</v>
      </c>
      <c r="H37" s="25">
        <v>6.28</v>
      </c>
    </row>
    <row r="38" spans="2:9">
      <c r="B38" s="24" t="s">
        <v>88</v>
      </c>
      <c r="C38" s="24" t="s">
        <v>89</v>
      </c>
      <c r="D38" s="24" t="s">
        <v>90</v>
      </c>
      <c r="E38" s="27">
        <v>500</v>
      </c>
      <c r="F38" s="25">
        <v>2429.29</v>
      </c>
      <c r="G38" s="25">
        <v>1.8</v>
      </c>
      <c r="H38" s="25">
        <v>6.4</v>
      </c>
    </row>
    <row r="39" spans="2:9">
      <c r="B39" s="24" t="s">
        <v>91</v>
      </c>
      <c r="C39" s="24" t="s">
        <v>92</v>
      </c>
      <c r="D39" s="24" t="s">
        <v>93</v>
      </c>
      <c r="E39" s="27">
        <v>500</v>
      </c>
      <c r="F39" s="25">
        <v>2390.35</v>
      </c>
      <c r="G39" s="25">
        <v>1.77</v>
      </c>
      <c r="H39" s="25">
        <v>6.42</v>
      </c>
    </row>
    <row r="40" spans="2:9">
      <c r="B40" s="24" t="s">
        <v>94</v>
      </c>
      <c r="C40" s="24" t="s">
        <v>95</v>
      </c>
      <c r="D40" s="24" t="s">
        <v>90</v>
      </c>
      <c r="E40" s="27">
        <v>500</v>
      </c>
      <c r="F40" s="25">
        <v>2383.94</v>
      </c>
      <c r="G40" s="25">
        <v>1.77</v>
      </c>
      <c r="H40" s="25">
        <v>6.42</v>
      </c>
    </row>
    <row r="41" spans="2:9">
      <c r="B41" s="24" t="s">
        <v>96</v>
      </c>
      <c r="C41" s="24" t="s">
        <v>97</v>
      </c>
      <c r="D41" s="24" t="s">
        <v>81</v>
      </c>
      <c r="E41" s="27">
        <v>500</v>
      </c>
      <c r="F41" s="25">
        <v>2381.2399999999998</v>
      </c>
      <c r="G41" s="25">
        <v>1.76</v>
      </c>
      <c r="H41" s="25">
        <v>6.41</v>
      </c>
    </row>
    <row r="42" spans="2:9">
      <c r="B42" s="24" t="s">
        <v>98</v>
      </c>
      <c r="C42" s="24" t="s">
        <v>99</v>
      </c>
      <c r="D42" s="24" t="s">
        <v>81</v>
      </c>
      <c r="E42" s="27">
        <v>500</v>
      </c>
      <c r="F42" s="25">
        <v>2381.2399999999998</v>
      </c>
      <c r="G42" s="25">
        <v>1.76</v>
      </c>
      <c r="H42" s="25">
        <v>6.39</v>
      </c>
    </row>
    <row r="43" spans="2:9">
      <c r="B43" s="24" t="s">
        <v>100</v>
      </c>
      <c r="C43" s="24" t="s">
        <v>101</v>
      </c>
      <c r="D43" s="24" t="s">
        <v>78</v>
      </c>
      <c r="E43" s="27">
        <v>500</v>
      </c>
      <c r="F43" s="25">
        <v>2380.88</v>
      </c>
      <c r="G43" s="25">
        <v>1.76</v>
      </c>
      <c r="H43" s="25">
        <v>6.43</v>
      </c>
    </row>
    <row r="44" spans="2:9">
      <c r="B44" s="24" t="s">
        <v>102</v>
      </c>
      <c r="C44" s="24" t="s">
        <v>103</v>
      </c>
      <c r="D44" s="24" t="s">
        <v>78</v>
      </c>
      <c r="E44" s="27">
        <v>500</v>
      </c>
      <c r="F44" s="25">
        <v>2376.1</v>
      </c>
      <c r="G44" s="25">
        <v>1.76</v>
      </c>
      <c r="H44" s="25">
        <v>6.43</v>
      </c>
    </row>
    <row r="45" spans="2:9">
      <c r="B45" s="23" t="s">
        <v>72</v>
      </c>
      <c r="C45" s="23"/>
      <c r="D45" s="23"/>
      <c r="E45" s="23"/>
      <c r="F45" s="41">
        <f>SUM(F32:F44)</f>
        <v>40828.76999999999</v>
      </c>
      <c r="G45" s="41">
        <f>SUM(G32:G44)</f>
        <v>30.240000000000006</v>
      </c>
      <c r="H45" s="42"/>
      <c r="I45" s="38"/>
    </row>
    <row r="46" spans="2:9">
      <c r="B46" s="23" t="s">
        <v>104</v>
      </c>
      <c r="C46" s="24"/>
      <c r="D46" s="24"/>
      <c r="E46" s="24"/>
      <c r="F46" s="25"/>
      <c r="G46" s="25"/>
      <c r="H46" s="25"/>
    </row>
    <row r="47" spans="2:9">
      <c r="B47" s="24" t="s">
        <v>105</v>
      </c>
      <c r="C47" s="24" t="s">
        <v>106</v>
      </c>
      <c r="D47" s="24" t="s">
        <v>81</v>
      </c>
      <c r="E47" s="27">
        <v>1000</v>
      </c>
      <c r="F47" s="25">
        <v>4756.67</v>
      </c>
      <c r="G47" s="25">
        <v>3.52</v>
      </c>
      <c r="H47" s="25">
        <v>6.89</v>
      </c>
    </row>
    <row r="48" spans="2:9">
      <c r="B48" s="24" t="s">
        <v>107</v>
      </c>
      <c r="C48" s="24" t="s">
        <v>108</v>
      </c>
      <c r="D48" s="24" t="s">
        <v>81</v>
      </c>
      <c r="E48" s="27">
        <v>500</v>
      </c>
      <c r="F48" s="25">
        <v>2373.2199999999998</v>
      </c>
      <c r="G48" s="25">
        <v>1.76</v>
      </c>
      <c r="H48" s="25">
        <v>6.89</v>
      </c>
    </row>
    <row r="49" spans="2:9">
      <c r="B49" s="23" t="s">
        <v>72</v>
      </c>
      <c r="C49" s="23"/>
      <c r="D49" s="23"/>
      <c r="E49" s="23"/>
      <c r="F49" s="41">
        <f>SUM(F46:F48)</f>
        <v>7129.8899999999994</v>
      </c>
      <c r="G49" s="41">
        <f>SUM(G46:G48)</f>
        <v>5.28</v>
      </c>
      <c r="H49" s="42"/>
      <c r="I49" s="38"/>
    </row>
    <row r="50" spans="2:9">
      <c r="B50" s="23" t="s">
        <v>109</v>
      </c>
      <c r="C50" s="24"/>
      <c r="D50" s="24"/>
      <c r="E50" s="24"/>
      <c r="F50" s="25"/>
      <c r="G50" s="25"/>
      <c r="H50" s="25"/>
    </row>
    <row r="51" spans="2:9">
      <c r="B51" s="24" t="s">
        <v>110</v>
      </c>
      <c r="C51" s="24" t="s">
        <v>111</v>
      </c>
      <c r="D51" s="24" t="s">
        <v>112</v>
      </c>
      <c r="E51" s="27">
        <v>2500000</v>
      </c>
      <c r="F51" s="25">
        <v>2466.27</v>
      </c>
      <c r="G51" s="25">
        <v>1.83</v>
      </c>
      <c r="H51" s="25">
        <v>5.61</v>
      </c>
    </row>
    <row r="52" spans="2:9">
      <c r="B52" s="24" t="s">
        <v>113</v>
      </c>
      <c r="C52" s="24" t="s">
        <v>114</v>
      </c>
      <c r="D52" s="24" t="s">
        <v>112</v>
      </c>
      <c r="E52" s="27">
        <v>2500000</v>
      </c>
      <c r="F52" s="25">
        <v>2464.02</v>
      </c>
      <c r="G52" s="25">
        <v>1.83</v>
      </c>
      <c r="H52" s="25">
        <v>5.61</v>
      </c>
    </row>
    <row r="53" spans="2:9">
      <c r="B53" s="24" t="s">
        <v>115</v>
      </c>
      <c r="C53" s="24" t="s">
        <v>116</v>
      </c>
      <c r="D53" s="24" t="s">
        <v>112</v>
      </c>
      <c r="E53" s="27">
        <v>1000000</v>
      </c>
      <c r="F53" s="25">
        <v>991.92</v>
      </c>
      <c r="G53" s="25">
        <v>0.73</v>
      </c>
      <c r="H53" s="25">
        <v>5.61</v>
      </c>
    </row>
    <row r="54" spans="2:9">
      <c r="B54" s="35" t="s">
        <v>72</v>
      </c>
      <c r="C54" s="35"/>
      <c r="D54" s="35"/>
      <c r="E54" s="35"/>
      <c r="F54" s="36">
        <f>SUM(F50:F53)</f>
        <v>5922.21</v>
      </c>
      <c r="G54" s="36">
        <f>SUM(G50:G53)</f>
        <v>4.3900000000000006</v>
      </c>
      <c r="H54" s="37"/>
      <c r="I54" s="38"/>
    </row>
    <row r="55" spans="2:9">
      <c r="B55" s="39" t="s">
        <v>73</v>
      </c>
      <c r="C55" s="39"/>
      <c r="D55" s="39"/>
      <c r="E55" s="39"/>
      <c r="F55" s="40">
        <f>F45+F49+F54</f>
        <v>53880.869999999988</v>
      </c>
      <c r="G55" s="40">
        <f>G45+G49+G54</f>
        <v>39.910000000000004</v>
      </c>
      <c r="H55" s="40"/>
      <c r="I55" s="38"/>
    </row>
    <row r="56" spans="2:9">
      <c r="B56" s="23" t="s">
        <v>117</v>
      </c>
      <c r="C56" s="24"/>
      <c r="D56" s="24"/>
      <c r="E56" s="24"/>
      <c r="F56" s="25"/>
      <c r="G56" s="25"/>
      <c r="H56" s="25"/>
    </row>
    <row r="57" spans="2:9">
      <c r="B57" s="24" t="s">
        <v>118</v>
      </c>
      <c r="C57" s="24" t="s">
        <v>119</v>
      </c>
      <c r="D57" s="24" t="s">
        <v>120</v>
      </c>
      <c r="E57" s="27">
        <v>4545000</v>
      </c>
      <c r="F57" s="25">
        <v>4223.72</v>
      </c>
      <c r="G57" s="25">
        <v>3.13</v>
      </c>
      <c r="H57" s="25">
        <v>5.8</v>
      </c>
    </row>
    <row r="58" spans="2:9">
      <c r="B58" s="24" t="s">
        <v>121</v>
      </c>
      <c r="C58" s="24" t="s">
        <v>122</v>
      </c>
      <c r="D58" s="24" t="s">
        <v>120</v>
      </c>
      <c r="E58" s="27">
        <v>1000000</v>
      </c>
      <c r="F58" s="25">
        <v>1035.06</v>
      </c>
      <c r="G58" s="25">
        <v>0.77</v>
      </c>
      <c r="H58" s="25">
        <v>5.95</v>
      </c>
    </row>
    <row r="59" spans="2:9">
      <c r="B59" s="43" t="s">
        <v>123</v>
      </c>
      <c r="C59" s="43" t="s">
        <v>124</v>
      </c>
      <c r="D59" s="43" t="s">
        <v>120</v>
      </c>
      <c r="E59" s="44">
        <v>500000</v>
      </c>
      <c r="F59" s="45">
        <v>519.22</v>
      </c>
      <c r="G59" s="45">
        <v>0.38</v>
      </c>
      <c r="H59" s="45">
        <v>7.18</v>
      </c>
    </row>
    <row r="60" spans="2:9">
      <c r="B60" s="46" t="s">
        <v>73</v>
      </c>
      <c r="C60" s="46"/>
      <c r="D60" s="46"/>
      <c r="E60" s="46"/>
      <c r="F60" s="41">
        <f>SUM(F57:F59)</f>
        <v>5778.0000000000009</v>
      </c>
      <c r="G60" s="41">
        <f>SUM(G57:G59)</f>
        <v>4.28</v>
      </c>
      <c r="H60" s="41"/>
      <c r="I60" s="38"/>
    </row>
    <row r="61" spans="2:9">
      <c r="B61" s="23" t="s">
        <v>125</v>
      </c>
      <c r="C61" s="24"/>
      <c r="D61" s="24"/>
      <c r="E61" s="24"/>
      <c r="F61" s="25"/>
      <c r="G61" s="25"/>
      <c r="H61" s="25"/>
    </row>
    <row r="62" spans="2:9">
      <c r="B62" s="43" t="s">
        <v>126</v>
      </c>
      <c r="C62" s="43" t="s">
        <v>127</v>
      </c>
      <c r="D62" s="43" t="s">
        <v>125</v>
      </c>
      <c r="E62" s="44">
        <v>2623.3690000000001</v>
      </c>
      <c r="F62" s="45">
        <v>293.58</v>
      </c>
      <c r="G62" s="45">
        <v>0.22</v>
      </c>
      <c r="H62" s="45">
        <v>5.71</v>
      </c>
    </row>
    <row r="63" spans="2:9">
      <c r="B63" s="46" t="s">
        <v>73</v>
      </c>
      <c r="C63" s="46"/>
      <c r="D63" s="46"/>
      <c r="E63" s="46"/>
      <c r="F63" s="41">
        <f>SUM(F62:F62)</f>
        <v>293.58</v>
      </c>
      <c r="G63" s="41">
        <f>SUM(G62:G62)</f>
        <v>0.22</v>
      </c>
      <c r="H63" s="41"/>
      <c r="I63" s="38"/>
    </row>
    <row r="64" spans="2:9">
      <c r="B64" s="23" t="s">
        <v>128</v>
      </c>
      <c r="C64" s="24"/>
      <c r="D64" s="24"/>
      <c r="E64" s="24"/>
      <c r="F64" s="25"/>
      <c r="G64" s="25"/>
      <c r="H64" s="25"/>
    </row>
    <row r="65" spans="2:9">
      <c r="B65" s="24" t="s">
        <v>128</v>
      </c>
      <c r="C65" s="24"/>
      <c r="D65" s="24"/>
      <c r="E65" s="24"/>
      <c r="F65" s="25">
        <v>3490.23</v>
      </c>
      <c r="G65" s="25">
        <v>2.59</v>
      </c>
      <c r="H65" s="25"/>
    </row>
    <row r="66" spans="2:9">
      <c r="B66" s="35" t="s">
        <v>72</v>
      </c>
      <c r="C66" s="35"/>
      <c r="D66" s="35"/>
      <c r="E66" s="35"/>
      <c r="F66" s="36">
        <f>SUM(F64:F65)</f>
        <v>3490.23</v>
      </c>
      <c r="G66" s="36">
        <f>SUM(G64:G65)</f>
        <v>2.59</v>
      </c>
      <c r="H66" s="37"/>
      <c r="I66" s="38"/>
    </row>
    <row r="67" spans="2:9">
      <c r="B67" s="47" t="s">
        <v>73</v>
      </c>
      <c r="C67" s="47"/>
      <c r="D67" s="47"/>
      <c r="E67" s="47"/>
      <c r="F67" s="48">
        <f>F66</f>
        <v>3490.23</v>
      </c>
      <c r="G67" s="48">
        <f>G66</f>
        <v>2.59</v>
      </c>
      <c r="H67" s="48"/>
      <c r="I67" s="38"/>
    </row>
    <row r="68" spans="2:9">
      <c r="B68" s="49" t="s">
        <v>129</v>
      </c>
      <c r="C68" s="49"/>
      <c r="D68" s="49"/>
      <c r="E68" s="49"/>
      <c r="F68" s="50">
        <f>F69-(+F30+F55+F60+F63+F67)</f>
        <v>2849.9400000000023</v>
      </c>
      <c r="G68" s="50">
        <f>G69-(+G30+G55+G60+G63+G67)</f>
        <v>2.0899999999999892</v>
      </c>
      <c r="H68" s="50"/>
      <c r="I68" s="38"/>
    </row>
    <row r="69" spans="2:9">
      <c r="B69" s="49" t="s">
        <v>130</v>
      </c>
      <c r="C69" s="49"/>
      <c r="D69" s="49"/>
      <c r="E69" s="49"/>
      <c r="F69" s="50">
        <v>134978.93</v>
      </c>
      <c r="G69" s="50">
        <v>100</v>
      </c>
      <c r="H69" s="50"/>
      <c r="I69" s="38"/>
    </row>
    <row r="71" spans="2:9">
      <c r="B71" s="38" t="s">
        <v>131</v>
      </c>
    </row>
    <row r="72" spans="2:9">
      <c r="B72" s="38" t="s">
        <v>132</v>
      </c>
    </row>
    <row r="73" spans="2:9" ht="12" thickBot="1"/>
    <row r="74" spans="2:9" ht="12.5" thickTop="1" thickBot="1">
      <c r="B74" s="51" t="s">
        <v>133</v>
      </c>
      <c r="C74" s="52">
        <v>0.93200000000000005</v>
      </c>
    </row>
    <row r="75" spans="2:9" ht="12.5" thickTop="1" thickBot="1"/>
    <row r="76" spans="2:9" ht="12.5" thickTop="1" thickBot="1">
      <c r="B76" s="51" t="s">
        <v>134</v>
      </c>
      <c r="C76" s="53">
        <v>6.5199999999999994E-2</v>
      </c>
    </row>
    <row r="77" spans="2:9" ht="12.5" thickTop="1" thickBot="1"/>
    <row r="78" spans="2:9" ht="12.5" thickTop="1" thickBot="1">
      <c r="B78" s="51" t="s">
        <v>135</v>
      </c>
      <c r="C78" s="52">
        <v>0.9909</v>
      </c>
    </row>
    <row r="79" spans="2:9" ht="12" thickTop="1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11:29:44</KDate>
  <Classification>Public</Classification>
  <Subclassification/>
  <HostName>MUMCMP01346</HostName>
  <Domain_User>CANARAROBECOMF/396</Domain_User>
  <IPAdd>192.9.198.198</IPAdd>
  <FilePath>Book19</FilePath>
  <KID>1098191A8D7D638850653847675110</KID>
  <UniqueName/>
  <Suggested/>
  <Justification/>
</Klassify>
</file>

<file path=customXml/itemProps1.xml><?xml version="1.0" encoding="utf-8"?>
<ds:datastoreItem xmlns:ds="http://schemas.openxmlformats.org/officeDocument/2006/customXml" ds:itemID="{D5ACFE00-7DE0-433F-91BD-5FE0701C1B8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2025-06-09T05:59:40Z</dcterms:created>
  <dcterms:modified xsi:type="dcterms:W3CDTF">2025-06-09T05:59:45Z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1098191A8D7D638850653847675110</vt:lpwstr>
  </property>
</Properties>
</file>