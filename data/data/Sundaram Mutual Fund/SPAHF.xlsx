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B46857EB-6016-457F-9F1F-A78C50573E1D}" xr6:coauthVersionLast="47" xr6:coauthVersionMax="47" xr10:uidLastSave="{00000000-0000-0000-0000-000000000000}"/>
  <bookViews>
    <workbookView xWindow="-120" yWindow="-120" windowWidth="29040" windowHeight="15720" xr2:uid="{1B80959A-9B88-4BFF-BDBF-7569E3303345}"/>
  </bookViews>
  <sheets>
    <sheet name="SPAH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5" i="1" l="1"/>
  <c r="F215" i="1"/>
  <c r="D192" i="1"/>
  <c r="F181" i="1"/>
  <c r="F83" i="1"/>
  <c r="F84" i="1" s="1"/>
  <c r="F90" i="1" s="1"/>
  <c r="F74" i="1"/>
  <c r="G67" i="1"/>
  <c r="F67" i="1"/>
  <c r="F182" i="1" l="1"/>
  <c r="G225" i="1" s="1"/>
  <c r="G83" i="1" l="1"/>
  <c r="G84" i="1" s="1"/>
  <c r="G90" i="1" s="1"/>
  <c r="G182" i="1" s="1"/>
</calcChain>
</file>

<file path=xl/sharedStrings.xml><?xml version="1.0" encoding="utf-8"?>
<sst xmlns="http://schemas.openxmlformats.org/spreadsheetml/2006/main" count="625" uniqueCount="362">
  <si>
    <t>SUNDARAM MUTUAL FUND</t>
  </si>
  <si>
    <t>Index</t>
  </si>
  <si>
    <t>Sundaram Aggressive Hybrid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</si>
  <si>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</si>
  <si>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</si>
  <si>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</si>
  <si>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</si>
  <si>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</si>
  <si>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</si>
  <si>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</si>
  <si>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</si>
  <si>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</si>
  <si>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</si>
  <si>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</si>
  <si>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</si>
  <si>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</si>
  <si>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</si>
  <si>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</si>
  <si>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</si>
  <si>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</si>
  <si>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</si>
  <si>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</si>
  <si>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</si>
  <si>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</si>
  <si>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</si>
  <si>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</si>
  <si>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</si>
  <si>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</si>
  <si>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INE238A01034</t>
  </si>
  <si>
    <t>Axis Bank Ltd</t>
  </si>
  <si>
    <t>INE237A01028</t>
  </si>
  <si>
    <t>Kotak Mahindra Bank Ltd</t>
  </si>
  <si>
    <t>INE009A01021</t>
  </si>
  <si>
    <t>Infosys Ltd</t>
  </si>
  <si>
    <t>It - Software</t>
  </si>
  <si>
    <t>INE101A01026</t>
  </si>
  <si>
    <t>Mahindra &amp; Mahindra Ltd</t>
  </si>
  <si>
    <t>Automobiles</t>
  </si>
  <si>
    <t>INE018A01030</t>
  </si>
  <si>
    <t>Larsen &amp; Toubro Ltd</t>
  </si>
  <si>
    <t>Construction</t>
  </si>
  <si>
    <t>INE303R01014</t>
  </si>
  <si>
    <t>Kalyan Jewellers India Ltd</t>
  </si>
  <si>
    <t>Consumer Durables</t>
  </si>
  <si>
    <t>INE467B01029</t>
  </si>
  <si>
    <t>Tata Consultancy Services Ltd</t>
  </si>
  <si>
    <t>INE721A01047</t>
  </si>
  <si>
    <t>Shriram Finance Ltd</t>
  </si>
  <si>
    <t>Finance</t>
  </si>
  <si>
    <t>INE854D01024</t>
  </si>
  <si>
    <t>United Spirits Ltd</t>
  </si>
  <si>
    <t>Beverages</t>
  </si>
  <si>
    <t>INE169A01031</t>
  </si>
  <si>
    <t>Coromandel International Ltd</t>
  </si>
  <si>
    <t>Fertilizers &amp; Agrochemicals</t>
  </si>
  <si>
    <t>INE044A01036</t>
  </si>
  <si>
    <t>Sun Pharmaceutical Industries Ltd</t>
  </si>
  <si>
    <t>Pharmaceuticals &amp; Biotechnology</t>
  </si>
  <si>
    <t>INE860A01027</t>
  </si>
  <si>
    <t>HCL Technologies Ltd</t>
  </si>
  <si>
    <t>INE371P01015</t>
  </si>
  <si>
    <t>Amber Enterprises India Ltd</t>
  </si>
  <si>
    <t>INE029A01011</t>
  </si>
  <si>
    <t>Bharat Petroleum Corporation Ltd</t>
  </si>
  <si>
    <t>INE154A01025</t>
  </si>
  <si>
    <t>ITC Ltd</t>
  </si>
  <si>
    <t>Diversified Fmcg</t>
  </si>
  <si>
    <t>INE030A01027</t>
  </si>
  <si>
    <t>Hindustan UniLever Ltd</t>
  </si>
  <si>
    <t>INE585B01010</t>
  </si>
  <si>
    <t>Maruti Suzuki India Ltd</t>
  </si>
  <si>
    <t>INE192A01025</t>
  </si>
  <si>
    <t>TATA Consumer Products Ltd</t>
  </si>
  <si>
    <t>Agricultural Food &amp; Other Products</t>
  </si>
  <si>
    <t>INE481G01011</t>
  </si>
  <si>
    <t>Ultratech Cement Ltd</t>
  </si>
  <si>
    <t>Cement &amp; Cement Products</t>
  </si>
  <si>
    <t>INE540L01014</t>
  </si>
  <si>
    <t>Alkem Laboratories Ltd</t>
  </si>
  <si>
    <t>INE797F01020</t>
  </si>
  <si>
    <t>Jubilant Foodworks Ltd</t>
  </si>
  <si>
    <t>Leisure Services</t>
  </si>
  <si>
    <t>INE047A01021</t>
  </si>
  <si>
    <t>Grasim Industries Ltd</t>
  </si>
  <si>
    <t>INE245A01021</t>
  </si>
  <si>
    <t>TATA Power Company Ltd</t>
  </si>
  <si>
    <t>Power</t>
  </si>
  <si>
    <t>INE596I01012</t>
  </si>
  <si>
    <t>Computer Age Management Services Ltd</t>
  </si>
  <si>
    <t>Capital Markets</t>
  </si>
  <si>
    <t>INE482A01020</t>
  </si>
  <si>
    <t>Ceat Ltd</t>
  </si>
  <si>
    <t>Auto Components</t>
  </si>
  <si>
    <t>INE123W01016</t>
  </si>
  <si>
    <t>SBI Life Insurance Company Ltd</t>
  </si>
  <si>
    <t>Insurance</t>
  </si>
  <si>
    <t>INE481N01025</t>
  </si>
  <si>
    <t>Home First Finance Company Ltd</t>
  </si>
  <si>
    <t>INE196A01026</t>
  </si>
  <si>
    <t>Marico Ltd</t>
  </si>
  <si>
    <t>INE010B01027</t>
  </si>
  <si>
    <t>Zydus Lifesciences Ltd</t>
  </si>
  <si>
    <t>INE634S01028</t>
  </si>
  <si>
    <t>Mankind Pharma Ltd</t>
  </si>
  <si>
    <t>INE917I01010</t>
  </si>
  <si>
    <t>Bajaj Auto Ltd</t>
  </si>
  <si>
    <t>INE298A01020</t>
  </si>
  <si>
    <t>Cummins India Ltd</t>
  </si>
  <si>
    <t>Industrial Products</t>
  </si>
  <si>
    <t>INE326A01037</t>
  </si>
  <si>
    <t>Lupin Ltd</t>
  </si>
  <si>
    <t>INE263A01024</t>
  </si>
  <si>
    <t>Bharat Electronics Ltd</t>
  </si>
  <si>
    <t>Aerospace &amp; Defense</t>
  </si>
  <si>
    <t>INE405E01023</t>
  </si>
  <si>
    <t>UNO Minda Ltd</t>
  </si>
  <si>
    <t>INE669C01036</t>
  </si>
  <si>
    <t>Tech Mahindra Ltd</t>
  </si>
  <si>
    <t>INE200M01039</t>
  </si>
  <si>
    <t>Varun Beverages Ltd</t>
  </si>
  <si>
    <t>INE061F01013</t>
  </si>
  <si>
    <t>Fortis Health Care Ltd</t>
  </si>
  <si>
    <t>Healthcare Services</t>
  </si>
  <si>
    <t>INE823G01014</t>
  </si>
  <si>
    <t>JK Cement Ltd</t>
  </si>
  <si>
    <t>INE536A01023</t>
  </si>
  <si>
    <t>Grindwell Norton Ltd</t>
  </si>
  <si>
    <t>INE121J01017</t>
  </si>
  <si>
    <t>Indus Towers Ltd (Prev Bharti Infratel Ltd)</t>
  </si>
  <si>
    <t>INE885A01032</t>
  </si>
  <si>
    <t>Amara Raja Energy &amp; Mobility Ltd</t>
  </si>
  <si>
    <t>INE733E01010</t>
  </si>
  <si>
    <t>NTPC LTD</t>
  </si>
  <si>
    <t>INE053A01029</t>
  </si>
  <si>
    <t>The Indian Hotels Company Ltd</t>
  </si>
  <si>
    <t>INE129A01019</t>
  </si>
  <si>
    <t>GAIL (India) Ltd</t>
  </si>
  <si>
    <t>Gas</t>
  </si>
  <si>
    <t>INE455K01017</t>
  </si>
  <si>
    <t>Polycab India Ltd</t>
  </si>
  <si>
    <t>INE148O01028</t>
  </si>
  <si>
    <t>Delhivery Ltd</t>
  </si>
  <si>
    <t>Transport Services</t>
  </si>
  <si>
    <t>INE00LO01017</t>
  </si>
  <si>
    <t>Craftsman Automation Ltd</t>
  </si>
  <si>
    <t>INE591G01017</t>
  </si>
  <si>
    <t>Coforge Ltd</t>
  </si>
  <si>
    <t>INE356A01018</t>
  </si>
  <si>
    <t>MphasiS Ltd</t>
  </si>
  <si>
    <t>INE183A01024</t>
  </si>
  <si>
    <t>Finolex Industries Ltd</t>
  </si>
  <si>
    <t>INE00F201020</t>
  </si>
  <si>
    <t>Prudent Corporate Advisory Services Ltd</t>
  </si>
  <si>
    <t>INE155A01022</t>
  </si>
  <si>
    <t>Tata Motors Ltd</t>
  </si>
  <si>
    <t>INE522F01014</t>
  </si>
  <si>
    <t>Coal India Ltd</t>
  </si>
  <si>
    <t>Consumable Fuels</t>
  </si>
  <si>
    <t>INE0JEI23010</t>
  </si>
  <si>
    <t>Roadstar Infra Investment Trust (InvIT)</t>
  </si>
  <si>
    <t>Services</t>
  </si>
  <si>
    <t>#</t>
  </si>
  <si>
    <t>Sub Total</t>
  </si>
  <si>
    <t>(b) Overseas Security</t>
  </si>
  <si>
    <t xml:space="preserve">0 </t>
  </si>
  <si>
    <t>(c) Privately Placed / Unlisted</t>
  </si>
  <si>
    <t>INE852S01026</t>
  </si>
  <si>
    <t>Chennai Super Kings Ltd @</t>
  </si>
  <si>
    <t>(d) Preference / Right Shares</t>
  </si>
  <si>
    <t>(e) Warrants</t>
  </si>
  <si>
    <t>(f) Convertible Debenture</t>
  </si>
  <si>
    <t>INE121A08PJ0</t>
  </si>
  <si>
    <t>7.5% Cholamandalam Investment and Company Ltd - 30/09/2026</t>
  </si>
  <si>
    <t>Unrated</t>
  </si>
  <si>
    <t>g) Derivative</t>
  </si>
  <si>
    <t>Bajaj Finance Limited May 2025</t>
  </si>
  <si>
    <t>Stock Future</t>
  </si>
  <si>
    <t>Total for Equity &amp; Equity Related</t>
  </si>
  <si>
    <t>B) Debt Instruments</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</si>
  <si>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</si>
  <si>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</si>
  <si>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</si>
  <si>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</si>
  <si>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</si>
  <si>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</si>
  <si>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</si>
  <si>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</si>
  <si>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</si>
  <si>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</si>
  <si>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</si>
  <si>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</si>
  <si>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</si>
  <si>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</si>
  <si>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</si>
  <si>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</si>
  <si>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</si>
  <si>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</si>
  <si>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</si>
  <si>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INE040A08955</t>
  </si>
  <si>
    <t>HDFC Bank Ltd - 7.7% - 16/05/2028</t>
  </si>
  <si>
    <t>INE556F08KM1</t>
  </si>
  <si>
    <t>Small Industries Development Bank of India - 7.79% - 14/05/2027**</t>
  </si>
  <si>
    <t>INE261F08DV4</t>
  </si>
  <si>
    <t>National Bank for Agriculture &amp; Rural Development - 7.62% - 31/01/2028**</t>
  </si>
  <si>
    <t>INE721A07RH9</t>
  </si>
  <si>
    <t>Shriram Finance Ltd - 8.75% - 15/06/2026**</t>
  </si>
  <si>
    <t>CRISIL AA+</t>
  </si>
  <si>
    <t>INE556F08KH1</t>
  </si>
  <si>
    <t>Small Industries Development Bank of India - 7.43% - 31/08/2026**</t>
  </si>
  <si>
    <t>INE0KUG08035</t>
  </si>
  <si>
    <t>National Bank for Financing Infrastructure and Development - 7.43% - 04/07/2034</t>
  </si>
  <si>
    <t>INE296A07SU3</t>
  </si>
  <si>
    <t>Bajaj Finance Ltd - 7.87% - 08/02/2034**</t>
  </si>
  <si>
    <t>INE020B08FF1</t>
  </si>
  <si>
    <t>REC LTD - 7.56% - 31/08/2027**</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</si>
  <si>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</si>
  <si>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</si>
  <si>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</si>
  <si>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</si>
  <si>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</si>
  <si>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</si>
  <si>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</si>
  <si>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</si>
  <si>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</si>
  <si>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</si>
  <si>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</si>
  <si>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</si>
  <si>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</si>
  <si>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</si>
  <si>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INE041007100</t>
  </si>
  <si>
    <t>Embassy Office Parks REIT - 7.77% - 05/06/2025**</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</si>
  <si>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</si>
  <si>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</si>
  <si>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</si>
  <si>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</si>
  <si>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</si>
  <si>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</si>
  <si>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</si>
  <si>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</si>
  <si>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</si>
  <si>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</si>
  <si>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</si>
  <si>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INE020B08EL2</t>
  </si>
  <si>
    <t>REC LTD - 7.44% - 30/04/2026**</t>
  </si>
  <si>
    <t>INE0KUG08084</t>
  </si>
  <si>
    <t>National Bank for Financing Infrastructure and Development - 7.04% - 07/04/2035**</t>
  </si>
  <si>
    <t>INE557F08FR8</t>
  </si>
  <si>
    <t>National Housing Bank - 7.22% - 23/07/2026</t>
  </si>
  <si>
    <t>INE756I07EN4</t>
  </si>
  <si>
    <t>HDB Financial Services Ltd - 7.84% - 14/07/2026</t>
  </si>
  <si>
    <t>(b) Privately Placed / Unlisted</t>
  </si>
  <si>
    <t>(c) Govt Security</t>
  </si>
  <si>
    <t>IN0020240019</t>
  </si>
  <si>
    <t>7.10% Central Government Securities 08/04/2034</t>
  </si>
  <si>
    <t>Sovereign</t>
  </si>
  <si>
    <t>IN0020240027</t>
  </si>
  <si>
    <t>7.23% Central Government Securities 15/04/2039*</t>
  </si>
  <si>
    <t>IN0020230077</t>
  </si>
  <si>
    <t>7.18%  Government Securities - 24/07/2037</t>
  </si>
  <si>
    <t>IN0020240035</t>
  </si>
  <si>
    <t>7.34% Central Government Securities 22/04/2064</t>
  </si>
  <si>
    <t>IN0020230051</t>
  </si>
  <si>
    <t>7.30% Government Securities - 19/06/2053</t>
  </si>
  <si>
    <t>IN0020220011</t>
  </si>
  <si>
    <t>7.10% Central Government Securities 18/04/2029*</t>
  </si>
  <si>
    <t>IN0020240076</t>
  </si>
  <si>
    <t>7.02% Central Government Securities 18/06/2031</t>
  </si>
  <si>
    <t>IN0020210160</t>
  </si>
  <si>
    <t>7.11% Central Government Securities_Floating Rate Bond - 04/10/2028 ~</t>
  </si>
  <si>
    <t>IN3120230484</t>
  </si>
  <si>
    <t>7.44% Tamil Nadu State Government Securities -20/03/2034</t>
  </si>
  <si>
    <t>(d) Securitized Debt Instruments</t>
  </si>
  <si>
    <t>Total for Debt Instruments</t>
  </si>
  <si>
    <t>C) Money Market Instruments</t>
  </si>
  <si>
    <t>(a) Certificate of Deposits</t>
  </si>
  <si>
    <t>INE238AD6AJ8</t>
  </si>
  <si>
    <t>Axis Bank Ltd - 02/05/2025</t>
  </si>
  <si>
    <t>CRISIL A1+</t>
  </si>
  <si>
    <t>INE238AD6AM2</t>
  </si>
  <si>
    <t>Axis Bank Ltd - 04/02/2026**</t>
  </si>
  <si>
    <t>(b) Commercial Papers</t>
  </si>
  <si>
    <t>(c) Treasury Bills</t>
  </si>
  <si>
    <t>(d) ReverseRepo / TREPS</t>
  </si>
  <si>
    <t>TREPS</t>
  </si>
  <si>
    <t>Total for Money Market Instruments</t>
  </si>
  <si>
    <t>D) Mutual Fund Units</t>
  </si>
  <si>
    <t>(a) Investment in Mutual Fund Units</t>
  </si>
  <si>
    <t>INF903JA1FR6</t>
  </si>
  <si>
    <t>Sundaram Money Market Fund-Direct Plan - Growth*</t>
  </si>
  <si>
    <t>INF173K01GU0</t>
  </si>
  <si>
    <t>Sundaram Liquid Fund - Direct Growth</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</si>
  <si>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</si>
  <si>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</si>
  <si>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</si>
  <si>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</si>
  <si>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</si>
  <si>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</si>
  <si>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</si>
  <si>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</si>
  <si>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</si>
  <si>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</si>
  <si>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</si>
  <si>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</si>
  <si>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</si>
  <si>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Refer below point i)</t>
  </si>
  <si>
    <t>b) Total value and percentage of illiquid equity / Preference shares @</t>
  </si>
  <si>
    <t>c) NAV  per  unit (Rupees per unit)</t>
  </si>
  <si>
    <t>At the beginning</t>
  </si>
  <si>
    <t>At the end</t>
  </si>
  <si>
    <t>Option</t>
  </si>
  <si>
    <t>Direct Plan - Growth</t>
  </si>
  <si>
    <t>Direct Plan - Monthly IDCW</t>
  </si>
  <si>
    <t>Regular Plan - Growth</t>
  </si>
  <si>
    <t>Regular Plan - Monthly IDCW</t>
  </si>
  <si>
    <t>d) IDCW declared during the period (Rupees per unit)</t>
  </si>
  <si>
    <t>Individual &amp; HUF</t>
  </si>
  <si>
    <t>Others</t>
  </si>
  <si>
    <t>e) Total outstanding exposure in derivative instruments at the end of the period</t>
  </si>
  <si>
    <t>Nil</t>
  </si>
  <si>
    <t>f) Total investments in foreign securities /ADR'S/GDR'S at the end of the period</t>
  </si>
  <si>
    <t>g) Repo in corporate debt</t>
  </si>
  <si>
    <t>h) Portfolio Turnover Ratio</t>
  </si>
  <si>
    <t>i) Exposure to securities classified as below investment grade or default as on 30-Apr-2025</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</si>
  <si>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</si>
  <si>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</si>
  <si>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</si>
  <si>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</si>
  <si>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</si>
  <si>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</si>
  <si>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</si>
  <si>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</si>
  <si>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</si>
  <si>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</si>
  <si>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</si>
  <si>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</si>
  <si>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</si>
  <si>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</si>
  <si>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</si>
  <si>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</si>
  <si>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</si>
  <si>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</si>
  <si>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</si>
  <si>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</si>
  <si>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</si>
  <si>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</si>
  <si>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</si>
  <si>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</si>
  <si>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</si>
  <si>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to AUM as on 30-Apr-2025</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</si>
  <si>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</si>
  <si>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</si>
  <si>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</si>
  <si>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</si>
  <si>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</si>
  <si>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</si>
  <si>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</si>
  <si>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</si>
  <si>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30-Apr-2025</t>
  </si>
  <si>
    <t>*** in case of semi annual YTM,  it will be annualised </t>
  </si>
  <si>
    <t>Scheme Riskometer :</t>
  </si>
  <si>
    <t>Tier I Benchmark Riskometer :</t>
  </si>
  <si>
    <t xml:space="preserve">           CRISIL Hybrid 35 Plus 65 -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</si>
</sst>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0;\-#,##0.000"/>
    <numFmt numFmtId="172" formatCode="[$-1014009]#,##0.00%"/>
    <numFmt numFmtId="173" formatCode="[$-1014009]#,##0.00;\(#,##0.00\)"/>
  </numFmts>
  <fonts count="21"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Calibri"/>
      <family val="2"/>
    </font>
    <font>
      <sz val="10"/>
      <name val="Arial"/>
      <family val="2"/>
    </font>
    <font>
      <b/>
      <i/>
      <sz val="10"/>
      <color indexed="8"/>
      <name val="Calibri"/>
      <family val="2"/>
    </font>
    <font>
      <b/>
      <sz val="10"/>
      <name val="Arial"/>
      <family val="2"/>
    </font>
    <font>
      <b/>
      <sz val="9"/>
      <color indexed="8"/>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1"/>
      <name val="Aptos Narrow"/>
      <family val="2"/>
      <scheme val="minor"/>
    </font>
    <font>
      <sz val="11"/>
      <name val="Aptos Narrow"/>
      <family val="2"/>
      <scheme val="minor"/>
    </font>
    <font>
      <b/>
      <sz val="10"/>
      <name val="Calibri"/>
      <family val="2"/>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3" fillId="0" borderId="0" applyNumberFormat="0" applyFill="0" applyBorder="0" applyAlignment="0" applyProtection="0">
      <alignment wrapText="1"/>
    </xf>
    <xf numFmtId="0" fontId="1" fillId="0" borderId="0"/>
    <xf numFmtId="0" fontId="1" fillId="0" borderId="0"/>
    <xf numFmtId="0" fontId="8" fillId="0" borderId="0">
      <alignment wrapText="1"/>
    </xf>
    <xf numFmtId="43" fontId="1" fillId="0" borderId="0" applyFont="0" applyFill="0" applyBorder="0" applyAlignment="0" applyProtection="0"/>
    <xf numFmtId="9" fontId="15" fillId="0" borderId="0" applyFont="0" applyFill="0" applyBorder="0" applyAlignment="0" applyProtection="0"/>
    <xf numFmtId="0" fontId="8" fillId="0" borderId="0">
      <alignment wrapText="1"/>
    </xf>
  </cellStyleXfs>
  <cellXfs count="117">
    <xf numFmtId="0" fontId="0" fillId="0" borderId="0" xfId="0">
      <alignment wrapText="1"/>
    </xf>
    <xf numFmtId="0" fontId="2" fillId="0" borderId="1" xfId="0" applyFont="1" applyBorder="1" applyAlignment="1">
      <alignment horizontal="center" vertical="center" wrapText="1" readingOrder="1"/>
    </xf>
    <xf numFmtId="0" fontId="4" fillId="0" borderId="0" xfId="3"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0" fontId="0" fillId="0" borderId="0" xfId="2" applyNumberFormat="1" applyFont="1" applyFill="1" applyAlignment="1">
      <alignment wrapText="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9" fillId="0" borderId="5" xfId="0" applyFont="1" applyBorder="1" applyAlignment="1">
      <alignment horizontal="left" vertical="center" wrapText="1" readingOrder="1"/>
    </xf>
    <xf numFmtId="0" fontId="9" fillId="0" borderId="5" xfId="0" applyFont="1" applyBorder="1" applyAlignment="1">
      <alignment horizontal="right" vertical="center" wrapText="1" readingOrder="1"/>
    </xf>
    <xf numFmtId="0" fontId="9" fillId="0" borderId="0" xfId="0" applyFont="1" applyAlignment="1">
      <alignment horizontal="left" vertical="center" wrapText="1" readingOrder="1"/>
    </xf>
    <xf numFmtId="0" fontId="5" fillId="0" borderId="0" xfId="0" applyFont="1" applyAlignment="1">
      <alignment horizontal="left" vertical="center" wrapText="1" readingOrder="1"/>
    </xf>
    <xf numFmtId="0" fontId="10" fillId="0" borderId="0" xfId="0" applyFont="1" applyAlignment="1">
      <alignment horizontal="center" vertical="center" wrapText="1"/>
    </xf>
    <xf numFmtId="0" fontId="9" fillId="0" borderId="0" xfId="4" applyFont="1" applyAlignment="1">
      <alignment horizontal="left" vertical="center" wrapText="1" readingOrder="1"/>
    </xf>
    <xf numFmtId="0" fontId="5" fillId="0" borderId="0" xfId="0" applyFont="1" applyAlignment="1">
      <alignment horizontal="justify" vertical="top" wrapText="1" readingOrder="1"/>
    </xf>
    <xf numFmtId="0" fontId="1" fillId="0" borderId="0" xfId="4" applyAlignment="1">
      <alignment wrapText="1"/>
    </xf>
    <xf numFmtId="0" fontId="9"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9"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1"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171"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2" fontId="6" fillId="0" borderId="4" xfId="0" applyNumberFormat="1" applyFont="1" applyBorder="1" applyAlignment="1">
      <alignment horizontal="left" vertical="center" wrapText="1" readingOrder="1"/>
    </xf>
    <xf numFmtId="0" fontId="7" fillId="0" borderId="0" xfId="0" applyFont="1">
      <alignment wrapText="1"/>
    </xf>
    <xf numFmtId="0" fontId="12" fillId="0" borderId="0" xfId="0" applyFont="1" applyAlignment="1">
      <alignment vertical="center"/>
    </xf>
    <xf numFmtId="0" fontId="7" fillId="0" borderId="0" xfId="0" applyFont="1" applyAlignment="1">
      <alignment vertical="center" wrapText="1"/>
    </xf>
    <xf numFmtId="0" fontId="13" fillId="0" borderId="10" xfId="5" applyFont="1" applyBorder="1" applyAlignment="1">
      <alignment horizontal="center" vertical="center"/>
    </xf>
    <xf numFmtId="0" fontId="13" fillId="0" borderId="11" xfId="5" applyFont="1" applyBorder="1" applyAlignment="1">
      <alignment horizontal="center" vertical="center"/>
    </xf>
    <xf numFmtId="0" fontId="13" fillId="0" borderId="12" xfId="5" applyFont="1" applyBorder="1" applyAlignment="1">
      <alignment horizontal="center" vertical="center"/>
    </xf>
    <xf numFmtId="0" fontId="13" fillId="0" borderId="13" xfId="5" applyFont="1" applyBorder="1" applyAlignment="1">
      <alignment horizontal="center" vertical="center"/>
    </xf>
    <xf numFmtId="0" fontId="13" fillId="0" borderId="11" xfId="5" applyFont="1" applyBorder="1" applyAlignment="1">
      <alignment horizontal="center" vertical="center" wrapText="1"/>
    </xf>
    <xf numFmtId="0" fontId="13" fillId="0" borderId="12" xfId="5" applyFont="1" applyBorder="1" applyAlignment="1">
      <alignment horizontal="center" vertical="center" wrapText="1"/>
    </xf>
    <xf numFmtId="0" fontId="13" fillId="0" borderId="13" xfId="5" applyFont="1" applyBorder="1" applyAlignment="1">
      <alignment horizontal="center" vertical="center" wrapText="1"/>
    </xf>
    <xf numFmtId="0" fontId="8" fillId="0" borderId="0" xfId="6">
      <alignment wrapText="1"/>
    </xf>
    <xf numFmtId="0" fontId="13" fillId="0" borderId="14" xfId="5" applyFont="1" applyBorder="1" applyAlignment="1">
      <alignment horizontal="center" vertical="center"/>
    </xf>
    <xf numFmtId="0" fontId="13" fillId="0" borderId="10" xfId="5" applyFont="1" applyBorder="1" applyAlignment="1">
      <alignment horizontal="center" vertical="center" wrapText="1"/>
    </xf>
    <xf numFmtId="0" fontId="13" fillId="0" borderId="15" xfId="5" applyFont="1" applyBorder="1" applyAlignment="1">
      <alignment horizontal="center" vertical="center" wrapText="1"/>
    </xf>
    <xf numFmtId="0" fontId="13" fillId="0" borderId="16" xfId="5" applyFont="1" applyBorder="1" applyAlignment="1">
      <alignment horizontal="center" vertical="center" wrapText="1"/>
    </xf>
    <xf numFmtId="0" fontId="13" fillId="0" borderId="3" xfId="5" applyFont="1" applyBorder="1" applyAlignment="1">
      <alignment horizontal="center" vertical="center"/>
    </xf>
    <xf numFmtId="0" fontId="13" fillId="0" borderId="3" xfId="5" applyFont="1" applyBorder="1" applyAlignment="1">
      <alignment horizontal="center" vertical="center" wrapText="1"/>
    </xf>
    <xf numFmtId="0" fontId="13" fillId="0" borderId="1" xfId="5" applyFont="1" applyBorder="1" applyAlignment="1">
      <alignment horizontal="center" vertical="center" wrapText="1"/>
    </xf>
    <xf numFmtId="0" fontId="14" fillId="0" borderId="1" xfId="5" applyFont="1" applyBorder="1"/>
    <xf numFmtId="0" fontId="14" fillId="0" borderId="1" xfId="5" applyFont="1" applyBorder="1" applyAlignment="1">
      <alignment wrapText="1"/>
    </xf>
    <xf numFmtId="4" fontId="7" fillId="0" borderId="1" xfId="0" applyNumberFormat="1" applyFont="1" applyBorder="1" applyAlignment="1">
      <alignment vertical="center"/>
    </xf>
    <xf numFmtId="43" fontId="14" fillId="0" borderId="1" xfId="7" applyFont="1" applyFill="1" applyBorder="1"/>
    <xf numFmtId="43" fontId="14" fillId="0" borderId="1" xfId="5" applyNumberFormat="1" applyFont="1" applyBorder="1"/>
    <xf numFmtId="4" fontId="14" fillId="0" borderId="1" xfId="8" applyNumberFormat="1" applyFont="1" applyFill="1" applyBorder="1"/>
    <xf numFmtId="0" fontId="14" fillId="0" borderId="0" xfId="5" applyFont="1" applyAlignment="1">
      <alignment horizontal="justify" vertical="center" wrapText="1"/>
    </xf>
    <xf numFmtId="0" fontId="14" fillId="0" borderId="0" xfId="5" applyFont="1" applyAlignment="1">
      <alignment vertical="center" wrapText="1"/>
    </xf>
    <xf numFmtId="0" fontId="16" fillId="0" borderId="0" xfId="0" applyFont="1" applyAlignment="1"/>
    <xf numFmtId="0" fontId="3" fillId="0" borderId="0" xfId="3" applyFill="1" applyAlignment="1"/>
    <xf numFmtId="0" fontId="17" fillId="0" borderId="1" xfId="4" applyFont="1" applyBorder="1" applyAlignment="1">
      <alignment horizontal="center" vertical="center"/>
    </xf>
    <xf numFmtId="0" fontId="17" fillId="0" borderId="11" xfId="4" applyFont="1" applyBorder="1" applyAlignment="1">
      <alignment horizontal="center" vertical="center" wrapText="1"/>
    </xf>
    <xf numFmtId="0" fontId="17" fillId="0" borderId="13" xfId="4" applyFont="1" applyBorder="1" applyAlignment="1">
      <alignment horizontal="center" vertical="center" wrapText="1"/>
    </xf>
    <xf numFmtId="0" fontId="17" fillId="0" borderId="1" xfId="4" applyFont="1" applyBorder="1" applyAlignment="1">
      <alignment horizontal="center" vertical="center"/>
    </xf>
    <xf numFmtId="0" fontId="12" fillId="0" borderId="1" xfId="4" applyFont="1" applyBorder="1" applyAlignment="1">
      <alignment vertical="center"/>
    </xf>
    <xf numFmtId="0" fontId="12" fillId="0" borderId="1" xfId="4" applyFont="1" applyBorder="1" applyAlignment="1">
      <alignment vertical="center" wrapText="1"/>
    </xf>
    <xf numFmtId="0" fontId="12" fillId="0" borderId="11" xfId="1" applyNumberFormat="1" applyFont="1" applyFill="1" applyBorder="1" applyAlignment="1">
      <alignment horizontal="center" vertical="center"/>
    </xf>
    <xf numFmtId="0" fontId="12" fillId="0" borderId="13" xfId="1" applyNumberFormat="1" applyFont="1" applyFill="1" applyBorder="1" applyAlignment="1">
      <alignment horizontal="center" vertical="center"/>
    </xf>
    <xf numFmtId="0" fontId="17" fillId="0" borderId="11" xfId="4" applyFont="1" applyBorder="1" applyAlignment="1">
      <alignment horizontal="center" vertical="center"/>
    </xf>
    <xf numFmtId="0" fontId="17" fillId="0" borderId="12" xfId="4" applyFont="1" applyBorder="1" applyAlignment="1">
      <alignment horizontal="center" vertical="center"/>
    </xf>
    <xf numFmtId="0" fontId="17" fillId="0" borderId="13" xfId="4" applyFont="1" applyBorder="1" applyAlignment="1">
      <alignment horizontal="center" vertical="center"/>
    </xf>
    <xf numFmtId="0" fontId="17" fillId="0" borderId="1" xfId="4" applyFont="1" applyBorder="1" applyAlignment="1">
      <alignment horizontal="center" vertical="center" wrapText="1"/>
    </xf>
    <xf numFmtId="0" fontId="18" fillId="0" borderId="0" xfId="9" applyFont="1" applyAlignment="1">
      <alignment horizontal="center" vertical="center"/>
    </xf>
    <xf numFmtId="0" fontId="12" fillId="0" borderId="1" xfId="4" applyFont="1" applyBorder="1" applyAlignment="1">
      <alignment horizontal="left" vertical="center"/>
    </xf>
    <xf numFmtId="2" fontId="12" fillId="0" borderId="1" xfId="4" applyNumberFormat="1" applyFont="1" applyBorder="1" applyAlignment="1">
      <alignment horizontal="right" vertical="center" wrapText="1"/>
    </xf>
    <xf numFmtId="4" fontId="12" fillId="0" borderId="1" xfId="4" applyNumberFormat="1" applyFont="1" applyBorder="1" applyAlignment="1">
      <alignment horizontal="right" vertical="center"/>
    </xf>
    <xf numFmtId="10" fontId="12" fillId="0" borderId="1" xfId="2" applyNumberFormat="1" applyFont="1" applyFill="1" applyBorder="1" applyAlignment="1">
      <alignment vertical="center" wrapText="1"/>
    </xf>
    <xf numFmtId="4" fontId="19" fillId="0" borderId="0" xfId="4" applyNumberFormat="1" applyFont="1" applyAlignment="1">
      <alignment vertical="center"/>
    </xf>
    <xf numFmtId="0" fontId="12" fillId="0" borderId="11" xfId="4" applyFont="1" applyBorder="1" applyAlignment="1">
      <alignment horizontal="left" vertical="center" wrapText="1"/>
    </xf>
    <xf numFmtId="0" fontId="12" fillId="0" borderId="12" xfId="4" applyFont="1" applyBorder="1" applyAlignment="1">
      <alignment horizontal="left" vertical="center" wrapText="1"/>
    </xf>
    <xf numFmtId="0" fontId="12" fillId="0" borderId="13" xfId="4" applyFont="1" applyBorder="1" applyAlignment="1">
      <alignment horizontal="left" vertical="center" wrapText="1"/>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5" fillId="0" borderId="1" xfId="0" applyFont="1" applyBorder="1" applyAlignment="1">
      <alignment horizontal="left" vertical="center" wrapText="1" readingOrder="1"/>
    </xf>
    <xf numFmtId="0" fontId="7" fillId="0" borderId="1" xfId="0" applyFont="1" applyBorder="1" applyAlignment="1">
      <alignment horizontal="justify" vertical="center"/>
    </xf>
    <xf numFmtId="0" fontId="5" fillId="0" borderId="11" xfId="0" applyFont="1" applyBorder="1" applyAlignment="1">
      <alignment horizontal="left" vertical="center" wrapText="1" readingOrder="1"/>
    </xf>
    <xf numFmtId="0" fontId="5" fillId="0" borderId="13" xfId="0" applyFont="1" applyBorder="1" applyAlignment="1">
      <alignment horizontal="left" vertical="center" wrapText="1" readingOrder="1"/>
    </xf>
    <xf numFmtId="0" fontId="7" fillId="0" borderId="1" xfId="0" applyFont="1" applyBorder="1" applyAlignment="1">
      <alignment horizontal="justify" vertical="center" wrapText="1"/>
    </xf>
    <xf numFmtId="173" fontId="6" fillId="0" borderId="4" xfId="0" applyNumberFormat="1" applyFont="1" applyBorder="1" applyAlignment="1">
      <alignment horizontal="left" vertical="center" wrapText="1" readingOrder="1"/>
    </xf>
    <xf numFmtId="0" fontId="20" fillId="0" borderId="1" xfId="0" applyFont="1" applyBorder="1" applyAlignment="1">
      <alignment horizontal="justify" vertical="center" wrapText="1"/>
    </xf>
    <xf numFmtId="14" fontId="7" fillId="0" borderId="1" xfId="0" quotePrefix="1" applyNumberFormat="1" applyFont="1" applyBorder="1" applyAlignment="1">
      <alignment horizontal="justify" vertical="center" wrapText="1"/>
    </xf>
    <xf numFmtId="0" fontId="5" fillId="0" borderId="12" xfId="0" applyFont="1" applyBorder="1" applyAlignment="1">
      <alignment horizontal="left" vertical="center" wrapText="1" readingOrder="1"/>
    </xf>
    <xf numFmtId="0" fontId="10" fillId="0" borderId="0" xfId="0" applyFont="1" applyAlignment="1">
      <alignment horizontal="left" vertical="top" wrapText="1"/>
    </xf>
    <xf numFmtId="0" fontId="10" fillId="0" borderId="0" xfId="0" applyFont="1" applyAlignment="1"/>
    <xf numFmtId="0" fontId="0" fillId="0" borderId="0" xfId="0" applyAlignment="1"/>
  </cellXfs>
  <cellStyles count="10">
    <cellStyle name="Comma" xfId="1" builtinId="3"/>
    <cellStyle name="Comma 2" xfId="7" xr:uid="{16885131-5D93-4840-B88F-23628931FA87}"/>
    <cellStyle name="Hyperlink 2" xfId="3" xr:uid="{60E7C364-5CEA-4D6F-BB1E-9435FF571CBE}"/>
    <cellStyle name="Normal" xfId="0" builtinId="0"/>
    <cellStyle name="Normal 2" xfId="9" xr:uid="{80195E6D-1B12-40F0-A0C7-25F7D0A23EF1}"/>
    <cellStyle name="Normal 2 2 2" xfId="5" xr:uid="{447F728F-5868-499A-AC61-49C5EC35B6CA}"/>
    <cellStyle name="Normal 2 2 3 2 2 3 2" xfId="4" xr:uid="{EEA5C7CA-0B96-4B4A-AD71-9DDF0495A7F9}"/>
    <cellStyle name="Normal 3" xfId="6" xr:uid="{FEBA0597-899F-4B2F-BE85-2B5BFAB1138C}"/>
    <cellStyle name="Percent" xfId="2" builtinId="5"/>
    <cellStyle name="Percent 2" xfId="8" xr:uid="{FA6247E8-ECCD-4C56-AC22-15E81B6DFC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2043452</xdr:colOff>
      <xdr:row>242</xdr:row>
      <xdr:rowOff>27375</xdr:rowOff>
    </xdr:to>
    <xdr:pic>
      <xdr:nvPicPr>
        <xdr:cNvPr id="2" name="Picture 1">
          <a:extLst>
            <a:ext uri="{FF2B5EF4-FFF2-40B4-BE49-F238E27FC236}">
              <a16:creationId xmlns:a16="http://schemas.microsoft.com/office/drawing/2014/main" id="{036BA066-7704-4534-8B62-E9FA70557B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508444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246</xdr:row>
      <xdr:rowOff>161925</xdr:rowOff>
    </xdr:from>
    <xdr:to>
      <xdr:col>2</xdr:col>
      <xdr:colOff>2052055</xdr:colOff>
      <xdr:row>247</xdr:row>
      <xdr:rowOff>46425</xdr:rowOff>
    </xdr:to>
    <xdr:pic>
      <xdr:nvPicPr>
        <xdr:cNvPr id="3" name="Picture 2">
          <a:extLst>
            <a:ext uri="{FF2B5EF4-FFF2-40B4-BE49-F238E27FC236}">
              <a16:creationId xmlns:a16="http://schemas.microsoft.com/office/drawing/2014/main" id="{E7AABF66-6B9A-4C46-971C-A8208BA7F9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53606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4852-CCB1-4D29-B787-556FDCA3D452}">
  <sheetPr codeName="Sheet14">
    <outlinePr summaryBelow="0" summaryRight="0"/>
  </sheetPr>
  <dimension ref="A1:Q247"/>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7.140625" bestFit="1" customWidth="1"/>
    <col min="4" max="4" width="17.7109375" bestFit="1" customWidth="1"/>
    <col min="5" max="5" width="13.5703125" bestFit="1" customWidth="1"/>
    <col min="6" max="6" width="10.140625" bestFit="1" customWidth="1"/>
    <col min="7" max="7" width="14" bestFit="1" customWidth="1"/>
    <col min="8" max="8" width="9.42578125" customWidth="1"/>
    <col min="9" max="9" width="8.85546875"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1732223</v>
      </c>
      <c r="F7" s="12">
        <v>33345.292750000001</v>
      </c>
      <c r="G7" s="13">
        <v>5.6285109999999999E-2</v>
      </c>
      <c r="H7" s="8" t="s">
        <v>13</v>
      </c>
    </row>
    <row r="8" spans="1:9" x14ac:dyDescent="0.2">
      <c r="A8" s="9">
        <v>2</v>
      </c>
      <c r="B8" s="10" t="s">
        <v>18</v>
      </c>
      <c r="C8" s="10" t="s">
        <v>19</v>
      </c>
      <c r="D8" s="10" t="s">
        <v>17</v>
      </c>
      <c r="E8" s="11">
        <v>2334966</v>
      </c>
      <c r="F8" s="12">
        <v>33319.964820000001</v>
      </c>
      <c r="G8" s="13">
        <v>5.6242359999999998E-2</v>
      </c>
      <c r="H8" s="8" t="s">
        <v>13</v>
      </c>
    </row>
    <row r="9" spans="1:9" x14ac:dyDescent="0.2">
      <c r="A9" s="9">
        <v>3</v>
      </c>
      <c r="B9" s="10" t="s">
        <v>20</v>
      </c>
      <c r="C9" s="10" t="s">
        <v>21</v>
      </c>
      <c r="D9" s="10" t="s">
        <v>22</v>
      </c>
      <c r="E9" s="11">
        <v>2300802</v>
      </c>
      <c r="F9" s="12">
        <v>32326.268100000001</v>
      </c>
      <c r="G9" s="13">
        <v>5.4565049999999997E-2</v>
      </c>
      <c r="H9" s="8" t="s">
        <v>13</v>
      </c>
    </row>
    <row r="10" spans="1:9" x14ac:dyDescent="0.2">
      <c r="A10" s="9">
        <v>4</v>
      </c>
      <c r="B10" s="10" t="s">
        <v>23</v>
      </c>
      <c r="C10" s="10" t="s">
        <v>24</v>
      </c>
      <c r="D10" s="10" t="s">
        <v>25</v>
      </c>
      <c r="E10" s="11">
        <v>1046000</v>
      </c>
      <c r="F10" s="12">
        <v>19502.669999999998</v>
      </c>
      <c r="G10" s="13">
        <v>3.2919490000000003E-2</v>
      </c>
      <c r="H10" s="8" t="s">
        <v>13</v>
      </c>
    </row>
    <row r="11" spans="1:9" x14ac:dyDescent="0.2">
      <c r="A11" s="9">
        <v>5</v>
      </c>
      <c r="B11" s="10" t="s">
        <v>26</v>
      </c>
      <c r="C11" s="10" t="s">
        <v>27</v>
      </c>
      <c r="D11" s="10" t="s">
        <v>17</v>
      </c>
      <c r="E11" s="11">
        <v>2114920</v>
      </c>
      <c r="F11" s="12">
        <v>16679.316579999999</v>
      </c>
      <c r="G11" s="13">
        <v>2.8153810000000001E-2</v>
      </c>
      <c r="H11" s="8" t="s">
        <v>13</v>
      </c>
    </row>
    <row r="12" spans="1:9" x14ac:dyDescent="0.2">
      <c r="A12" s="9">
        <v>6</v>
      </c>
      <c r="B12" s="10" t="s">
        <v>28</v>
      </c>
      <c r="C12" s="10" t="s">
        <v>29</v>
      </c>
      <c r="D12" s="10" t="s">
        <v>17</v>
      </c>
      <c r="E12" s="11">
        <v>1173644</v>
      </c>
      <c r="F12" s="12">
        <v>13907.681399999999</v>
      </c>
      <c r="G12" s="13">
        <v>2.347544E-2</v>
      </c>
      <c r="H12" s="8" t="s">
        <v>13</v>
      </c>
    </row>
    <row r="13" spans="1:9" x14ac:dyDescent="0.2">
      <c r="A13" s="9">
        <v>7</v>
      </c>
      <c r="B13" s="10" t="s">
        <v>30</v>
      </c>
      <c r="C13" s="10" t="s">
        <v>31</v>
      </c>
      <c r="D13" s="10" t="s">
        <v>17</v>
      </c>
      <c r="E13" s="11">
        <v>596117</v>
      </c>
      <c r="F13" s="12">
        <v>13162.859477</v>
      </c>
      <c r="G13" s="13">
        <v>2.221822E-2</v>
      </c>
      <c r="H13" s="8" t="s">
        <v>13</v>
      </c>
    </row>
    <row r="14" spans="1:9" x14ac:dyDescent="0.2">
      <c r="A14" s="9">
        <v>8</v>
      </c>
      <c r="B14" s="10" t="s">
        <v>32</v>
      </c>
      <c r="C14" s="10" t="s">
        <v>33</v>
      </c>
      <c r="D14" s="10" t="s">
        <v>34</v>
      </c>
      <c r="E14" s="11">
        <v>858575</v>
      </c>
      <c r="F14" s="12">
        <v>12879.483575</v>
      </c>
      <c r="G14" s="13">
        <v>2.1739890000000001E-2</v>
      </c>
      <c r="H14" s="8" t="s">
        <v>13</v>
      </c>
    </row>
    <row r="15" spans="1:9" x14ac:dyDescent="0.2">
      <c r="A15" s="9">
        <v>9</v>
      </c>
      <c r="B15" s="10" t="s">
        <v>35</v>
      </c>
      <c r="C15" s="10" t="s">
        <v>36</v>
      </c>
      <c r="D15" s="10" t="s">
        <v>37</v>
      </c>
      <c r="E15" s="11">
        <v>382600</v>
      </c>
      <c r="F15" s="12">
        <v>11205.5888</v>
      </c>
      <c r="G15" s="13">
        <v>1.8914449999999999E-2</v>
      </c>
      <c r="H15" s="8" t="s">
        <v>13</v>
      </c>
    </row>
    <row r="16" spans="1:9" x14ac:dyDescent="0.2">
      <c r="A16" s="9">
        <v>10</v>
      </c>
      <c r="B16" s="10" t="s">
        <v>38</v>
      </c>
      <c r="C16" s="10" t="s">
        <v>39</v>
      </c>
      <c r="D16" s="10" t="s">
        <v>40</v>
      </c>
      <c r="E16" s="11">
        <v>316621</v>
      </c>
      <c r="F16" s="12">
        <v>10578.30761</v>
      </c>
      <c r="G16" s="13">
        <v>1.7855630000000001E-2</v>
      </c>
      <c r="H16" s="8" t="s">
        <v>13</v>
      </c>
    </row>
    <row r="17" spans="1:8" x14ac:dyDescent="0.2">
      <c r="A17" s="9">
        <v>11</v>
      </c>
      <c r="B17" s="10" t="s">
        <v>41</v>
      </c>
      <c r="C17" s="10" t="s">
        <v>42</v>
      </c>
      <c r="D17" s="10" t="s">
        <v>43</v>
      </c>
      <c r="E17" s="11">
        <v>1850000</v>
      </c>
      <c r="F17" s="12">
        <v>9556.1749999999993</v>
      </c>
      <c r="G17" s="13">
        <v>1.613032E-2</v>
      </c>
      <c r="H17" s="8" t="s">
        <v>13</v>
      </c>
    </row>
    <row r="18" spans="1:8" x14ac:dyDescent="0.2">
      <c r="A18" s="9">
        <v>12</v>
      </c>
      <c r="B18" s="10" t="s">
        <v>44</v>
      </c>
      <c r="C18" s="10" t="s">
        <v>45</v>
      </c>
      <c r="D18" s="10" t="s">
        <v>34</v>
      </c>
      <c r="E18" s="11">
        <v>246252</v>
      </c>
      <c r="F18" s="12">
        <v>8504.8053240000008</v>
      </c>
      <c r="G18" s="13">
        <v>1.4355669999999999E-2</v>
      </c>
      <c r="H18" s="8" t="s">
        <v>13</v>
      </c>
    </row>
    <row r="19" spans="1:8" x14ac:dyDescent="0.2">
      <c r="A19" s="9">
        <v>13</v>
      </c>
      <c r="B19" s="10" t="s">
        <v>46</v>
      </c>
      <c r="C19" s="10" t="s">
        <v>47</v>
      </c>
      <c r="D19" s="10" t="s">
        <v>48</v>
      </c>
      <c r="E19" s="11">
        <v>1372500</v>
      </c>
      <c r="F19" s="12">
        <v>8395.5825000000004</v>
      </c>
      <c r="G19" s="13">
        <v>1.41713E-2</v>
      </c>
      <c r="H19" s="8" t="s">
        <v>13</v>
      </c>
    </row>
    <row r="20" spans="1:8" x14ac:dyDescent="0.2">
      <c r="A20" s="9">
        <v>14</v>
      </c>
      <c r="B20" s="10" t="s">
        <v>49</v>
      </c>
      <c r="C20" s="10" t="s">
        <v>50</v>
      </c>
      <c r="D20" s="10" t="s">
        <v>51</v>
      </c>
      <c r="E20" s="11">
        <v>500000</v>
      </c>
      <c r="F20" s="12">
        <v>7819.5</v>
      </c>
      <c r="G20" s="13">
        <v>1.3198909999999999E-2</v>
      </c>
      <c r="H20" s="8" t="s">
        <v>13</v>
      </c>
    </row>
    <row r="21" spans="1:8" ht="25.5" x14ac:dyDescent="0.2">
      <c r="A21" s="9">
        <v>15</v>
      </c>
      <c r="B21" s="10" t="s">
        <v>52</v>
      </c>
      <c r="C21" s="10" t="s">
        <v>53</v>
      </c>
      <c r="D21" s="10" t="s">
        <v>54</v>
      </c>
      <c r="E21" s="11">
        <v>350000</v>
      </c>
      <c r="F21" s="12">
        <v>7749.7</v>
      </c>
      <c r="G21" s="13">
        <v>1.308109E-2</v>
      </c>
      <c r="H21" s="8" t="s">
        <v>13</v>
      </c>
    </row>
    <row r="22" spans="1:8" ht="25.5" x14ac:dyDescent="0.2">
      <c r="A22" s="9">
        <v>16</v>
      </c>
      <c r="B22" s="10" t="s">
        <v>55</v>
      </c>
      <c r="C22" s="10" t="s">
        <v>56</v>
      </c>
      <c r="D22" s="10" t="s">
        <v>57</v>
      </c>
      <c r="E22" s="11">
        <v>420000</v>
      </c>
      <c r="F22" s="12">
        <v>7695.66</v>
      </c>
      <c r="G22" s="13">
        <v>1.2989870000000001E-2</v>
      </c>
      <c r="H22" s="8" t="s">
        <v>13</v>
      </c>
    </row>
    <row r="23" spans="1:8" x14ac:dyDescent="0.2">
      <c r="A23" s="9">
        <v>17</v>
      </c>
      <c r="B23" s="10" t="s">
        <v>58</v>
      </c>
      <c r="C23" s="10" t="s">
        <v>59</v>
      </c>
      <c r="D23" s="10" t="s">
        <v>34</v>
      </c>
      <c r="E23" s="11">
        <v>486000</v>
      </c>
      <c r="F23" s="12">
        <v>7618.05</v>
      </c>
      <c r="G23" s="13">
        <v>1.285887E-2</v>
      </c>
      <c r="H23" s="8" t="s">
        <v>13</v>
      </c>
    </row>
    <row r="24" spans="1:8" x14ac:dyDescent="0.2">
      <c r="A24" s="9">
        <v>18</v>
      </c>
      <c r="B24" s="10" t="s">
        <v>60</v>
      </c>
      <c r="C24" s="10" t="s">
        <v>61</v>
      </c>
      <c r="D24" s="10" t="s">
        <v>43</v>
      </c>
      <c r="E24" s="11">
        <v>123705</v>
      </c>
      <c r="F24" s="12">
        <v>7614.6612750000004</v>
      </c>
      <c r="G24" s="13">
        <v>1.2853150000000001E-2</v>
      </c>
      <c r="H24" s="8" t="s">
        <v>13</v>
      </c>
    </row>
    <row r="25" spans="1:8" x14ac:dyDescent="0.2">
      <c r="A25" s="9">
        <v>19</v>
      </c>
      <c r="B25" s="10" t="s">
        <v>62</v>
      </c>
      <c r="C25" s="10" t="s">
        <v>63</v>
      </c>
      <c r="D25" s="10" t="s">
        <v>22</v>
      </c>
      <c r="E25" s="11">
        <v>2400000</v>
      </c>
      <c r="F25" s="12">
        <v>7441.2</v>
      </c>
      <c r="G25" s="13">
        <v>1.256036E-2</v>
      </c>
      <c r="H25" s="8" t="s">
        <v>13</v>
      </c>
    </row>
    <row r="26" spans="1:8" x14ac:dyDescent="0.2">
      <c r="A26" s="9">
        <v>20</v>
      </c>
      <c r="B26" s="10" t="s">
        <v>64</v>
      </c>
      <c r="C26" s="10" t="s">
        <v>65</v>
      </c>
      <c r="D26" s="10" t="s">
        <v>66</v>
      </c>
      <c r="E26" s="11">
        <v>1669771</v>
      </c>
      <c r="F26" s="12">
        <v>7109.8849179999997</v>
      </c>
      <c r="G26" s="13">
        <v>1.2001110000000001E-2</v>
      </c>
      <c r="H26" s="8" t="s">
        <v>13</v>
      </c>
    </row>
    <row r="27" spans="1:8" x14ac:dyDescent="0.2">
      <c r="A27" s="9">
        <v>21</v>
      </c>
      <c r="B27" s="10" t="s">
        <v>67</v>
      </c>
      <c r="C27" s="10" t="s">
        <v>68</v>
      </c>
      <c r="D27" s="10" t="s">
        <v>66</v>
      </c>
      <c r="E27" s="11">
        <v>281736</v>
      </c>
      <c r="F27" s="12">
        <v>6598.5388560000001</v>
      </c>
      <c r="G27" s="13">
        <v>1.113799E-2</v>
      </c>
      <c r="H27" s="8" t="s">
        <v>13</v>
      </c>
    </row>
    <row r="28" spans="1:8" x14ac:dyDescent="0.2">
      <c r="A28" s="9">
        <v>22</v>
      </c>
      <c r="B28" s="10" t="s">
        <v>69</v>
      </c>
      <c r="C28" s="10" t="s">
        <v>70</v>
      </c>
      <c r="D28" s="10" t="s">
        <v>37</v>
      </c>
      <c r="E28" s="11">
        <v>53768</v>
      </c>
      <c r="F28" s="12">
        <v>6590.3437599999997</v>
      </c>
      <c r="G28" s="13">
        <v>1.1124159999999999E-2</v>
      </c>
      <c r="H28" s="8" t="s">
        <v>13</v>
      </c>
    </row>
    <row r="29" spans="1:8" ht="25.5" x14ac:dyDescent="0.2">
      <c r="A29" s="9">
        <v>23</v>
      </c>
      <c r="B29" s="10" t="s">
        <v>71</v>
      </c>
      <c r="C29" s="10" t="s">
        <v>72</v>
      </c>
      <c r="D29" s="10" t="s">
        <v>73</v>
      </c>
      <c r="E29" s="11">
        <v>554828</v>
      </c>
      <c r="F29" s="12">
        <v>6468.1848239999999</v>
      </c>
      <c r="G29" s="13">
        <v>1.0917960000000001E-2</v>
      </c>
      <c r="H29" s="8" t="s">
        <v>13</v>
      </c>
    </row>
    <row r="30" spans="1:8" ht="25.5" x14ac:dyDescent="0.2">
      <c r="A30" s="9">
        <v>24</v>
      </c>
      <c r="B30" s="10" t="s">
        <v>74</v>
      </c>
      <c r="C30" s="10" t="s">
        <v>75</v>
      </c>
      <c r="D30" s="10" t="s">
        <v>76</v>
      </c>
      <c r="E30" s="11">
        <v>48500</v>
      </c>
      <c r="F30" s="12">
        <v>5645.8850000000002</v>
      </c>
      <c r="G30" s="13">
        <v>9.5299600000000005E-3</v>
      </c>
      <c r="H30" s="8" t="s">
        <v>13</v>
      </c>
    </row>
    <row r="31" spans="1:8" ht="25.5" x14ac:dyDescent="0.2">
      <c r="A31" s="9">
        <v>25</v>
      </c>
      <c r="B31" s="10" t="s">
        <v>77</v>
      </c>
      <c r="C31" s="10" t="s">
        <v>78</v>
      </c>
      <c r="D31" s="10" t="s">
        <v>57</v>
      </c>
      <c r="E31" s="11">
        <v>110000</v>
      </c>
      <c r="F31" s="12">
        <v>5627.6</v>
      </c>
      <c r="G31" s="13">
        <v>9.49909E-3</v>
      </c>
      <c r="H31" s="8" t="s">
        <v>13</v>
      </c>
    </row>
    <row r="32" spans="1:8" x14ac:dyDescent="0.2">
      <c r="A32" s="9">
        <v>26</v>
      </c>
      <c r="B32" s="10" t="s">
        <v>79</v>
      </c>
      <c r="C32" s="10" t="s">
        <v>80</v>
      </c>
      <c r="D32" s="10" t="s">
        <v>81</v>
      </c>
      <c r="E32" s="11">
        <v>715733</v>
      </c>
      <c r="F32" s="12">
        <v>5120.3538820000003</v>
      </c>
      <c r="G32" s="13">
        <v>8.6428900000000003E-3</v>
      </c>
      <c r="H32" s="8" t="s">
        <v>13</v>
      </c>
    </row>
    <row r="33" spans="1:8" ht="25.5" x14ac:dyDescent="0.2">
      <c r="A33" s="9">
        <v>27</v>
      </c>
      <c r="B33" s="10" t="s">
        <v>82</v>
      </c>
      <c r="C33" s="10" t="s">
        <v>83</v>
      </c>
      <c r="D33" s="10" t="s">
        <v>76</v>
      </c>
      <c r="E33" s="11">
        <v>186860</v>
      </c>
      <c r="F33" s="12">
        <v>5115.2924999999996</v>
      </c>
      <c r="G33" s="13">
        <v>8.6343500000000007E-3</v>
      </c>
      <c r="H33" s="8" t="s">
        <v>13</v>
      </c>
    </row>
    <row r="34" spans="1:8" x14ac:dyDescent="0.2">
      <c r="A34" s="9">
        <v>28</v>
      </c>
      <c r="B34" s="10" t="s">
        <v>84</v>
      </c>
      <c r="C34" s="10" t="s">
        <v>85</v>
      </c>
      <c r="D34" s="10" t="s">
        <v>86</v>
      </c>
      <c r="E34" s="11">
        <v>1275000</v>
      </c>
      <c r="F34" s="12">
        <v>4901.1000000000004</v>
      </c>
      <c r="G34" s="13">
        <v>8.2728000000000003E-3</v>
      </c>
      <c r="H34" s="8" t="s">
        <v>13</v>
      </c>
    </row>
    <row r="35" spans="1:8" x14ac:dyDescent="0.2">
      <c r="A35" s="9">
        <v>29</v>
      </c>
      <c r="B35" s="10" t="s">
        <v>87</v>
      </c>
      <c r="C35" s="10" t="s">
        <v>88</v>
      </c>
      <c r="D35" s="10" t="s">
        <v>89</v>
      </c>
      <c r="E35" s="11">
        <v>125000</v>
      </c>
      <c r="F35" s="12">
        <v>4882.875</v>
      </c>
      <c r="G35" s="13">
        <v>8.2420400000000008E-3</v>
      </c>
      <c r="H35" s="8" t="s">
        <v>13</v>
      </c>
    </row>
    <row r="36" spans="1:8" x14ac:dyDescent="0.2">
      <c r="A36" s="9">
        <v>30</v>
      </c>
      <c r="B36" s="10" t="s">
        <v>90</v>
      </c>
      <c r="C36" s="10" t="s">
        <v>91</v>
      </c>
      <c r="D36" s="10" t="s">
        <v>92</v>
      </c>
      <c r="E36" s="11">
        <v>139675</v>
      </c>
      <c r="F36" s="12">
        <v>4653.9709999999995</v>
      </c>
      <c r="G36" s="13">
        <v>7.8556600000000004E-3</v>
      </c>
      <c r="H36" s="8" t="s">
        <v>13</v>
      </c>
    </row>
    <row r="37" spans="1:8" x14ac:dyDescent="0.2">
      <c r="A37" s="9">
        <v>31</v>
      </c>
      <c r="B37" s="10" t="s">
        <v>93</v>
      </c>
      <c r="C37" s="10" t="s">
        <v>94</v>
      </c>
      <c r="D37" s="10" t="s">
        <v>95</v>
      </c>
      <c r="E37" s="11">
        <v>262000</v>
      </c>
      <c r="F37" s="12">
        <v>4626.3959999999997</v>
      </c>
      <c r="G37" s="13">
        <v>7.8091100000000002E-3</v>
      </c>
      <c r="H37" s="8" t="s">
        <v>13</v>
      </c>
    </row>
    <row r="38" spans="1:8" x14ac:dyDescent="0.2">
      <c r="A38" s="9">
        <v>32</v>
      </c>
      <c r="B38" s="10" t="s">
        <v>96</v>
      </c>
      <c r="C38" s="10" t="s">
        <v>97</v>
      </c>
      <c r="D38" s="10" t="s">
        <v>48</v>
      </c>
      <c r="E38" s="11">
        <v>365785</v>
      </c>
      <c r="F38" s="12">
        <v>4496.5950050000001</v>
      </c>
      <c r="G38" s="13">
        <v>7.5900200000000003E-3</v>
      </c>
      <c r="H38" s="8" t="s">
        <v>13</v>
      </c>
    </row>
    <row r="39" spans="1:8" ht="25.5" x14ac:dyDescent="0.2">
      <c r="A39" s="9">
        <v>33</v>
      </c>
      <c r="B39" s="10" t="s">
        <v>98</v>
      </c>
      <c r="C39" s="10" t="s">
        <v>99</v>
      </c>
      <c r="D39" s="10" t="s">
        <v>73</v>
      </c>
      <c r="E39" s="11">
        <v>605000</v>
      </c>
      <c r="F39" s="12">
        <v>4298.2224999999999</v>
      </c>
      <c r="G39" s="13">
        <v>7.25518E-3</v>
      </c>
      <c r="H39" s="8" t="s">
        <v>13</v>
      </c>
    </row>
    <row r="40" spans="1:8" ht="25.5" x14ac:dyDescent="0.2">
      <c r="A40" s="9">
        <v>34</v>
      </c>
      <c r="B40" s="10" t="s">
        <v>100</v>
      </c>
      <c r="C40" s="10" t="s">
        <v>101</v>
      </c>
      <c r="D40" s="10" t="s">
        <v>57</v>
      </c>
      <c r="E40" s="11">
        <v>480000</v>
      </c>
      <c r="F40" s="12">
        <v>4263.6000000000004</v>
      </c>
      <c r="G40" s="13">
        <v>7.1967300000000001E-3</v>
      </c>
      <c r="H40" s="8" t="s">
        <v>13</v>
      </c>
    </row>
    <row r="41" spans="1:8" ht="25.5" x14ac:dyDescent="0.2">
      <c r="A41" s="9">
        <v>35</v>
      </c>
      <c r="B41" s="10" t="s">
        <v>102</v>
      </c>
      <c r="C41" s="10" t="s">
        <v>103</v>
      </c>
      <c r="D41" s="10" t="s">
        <v>57</v>
      </c>
      <c r="E41" s="11">
        <v>169000</v>
      </c>
      <c r="F41" s="12">
        <v>4166.357</v>
      </c>
      <c r="G41" s="13">
        <v>7.03259E-3</v>
      </c>
      <c r="H41" s="8" t="s">
        <v>13</v>
      </c>
    </row>
    <row r="42" spans="1:8" x14ac:dyDescent="0.2">
      <c r="A42" s="9">
        <v>36</v>
      </c>
      <c r="B42" s="10" t="s">
        <v>104</v>
      </c>
      <c r="C42" s="10" t="s">
        <v>105</v>
      </c>
      <c r="D42" s="10" t="s">
        <v>37</v>
      </c>
      <c r="E42" s="11">
        <v>51823</v>
      </c>
      <c r="F42" s="12">
        <v>4161.3869000000004</v>
      </c>
      <c r="G42" s="13">
        <v>7.0242000000000004E-3</v>
      </c>
      <c r="H42" s="8" t="s">
        <v>13</v>
      </c>
    </row>
    <row r="43" spans="1:8" x14ac:dyDescent="0.2">
      <c r="A43" s="9">
        <v>37</v>
      </c>
      <c r="B43" s="10" t="s">
        <v>106</v>
      </c>
      <c r="C43" s="10" t="s">
        <v>107</v>
      </c>
      <c r="D43" s="10" t="s">
        <v>108</v>
      </c>
      <c r="E43" s="11">
        <v>143000</v>
      </c>
      <c r="F43" s="12">
        <v>4140.4219999999996</v>
      </c>
      <c r="G43" s="13">
        <v>6.9888199999999998E-3</v>
      </c>
      <c r="H43" s="8" t="s">
        <v>13</v>
      </c>
    </row>
    <row r="44" spans="1:8" ht="25.5" x14ac:dyDescent="0.2">
      <c r="A44" s="9">
        <v>38</v>
      </c>
      <c r="B44" s="10" t="s">
        <v>109</v>
      </c>
      <c r="C44" s="10" t="s">
        <v>110</v>
      </c>
      <c r="D44" s="10" t="s">
        <v>57</v>
      </c>
      <c r="E44" s="11">
        <v>195000</v>
      </c>
      <c r="F44" s="12">
        <v>4086.42</v>
      </c>
      <c r="G44" s="13">
        <v>6.8976599999999999E-3</v>
      </c>
      <c r="H44" s="8" t="s">
        <v>13</v>
      </c>
    </row>
    <row r="45" spans="1:8" x14ac:dyDescent="0.2">
      <c r="A45" s="9">
        <v>39</v>
      </c>
      <c r="B45" s="10" t="s">
        <v>111</v>
      </c>
      <c r="C45" s="10" t="s">
        <v>112</v>
      </c>
      <c r="D45" s="10" t="s">
        <v>113</v>
      </c>
      <c r="E45" s="11">
        <v>1283789</v>
      </c>
      <c r="F45" s="12">
        <v>4032.381249</v>
      </c>
      <c r="G45" s="13">
        <v>6.8064500000000003E-3</v>
      </c>
      <c r="H45" s="8" t="s">
        <v>13</v>
      </c>
    </row>
    <row r="46" spans="1:8" x14ac:dyDescent="0.2">
      <c r="A46" s="9">
        <v>40</v>
      </c>
      <c r="B46" s="10" t="s">
        <v>114</v>
      </c>
      <c r="C46" s="10" t="s">
        <v>115</v>
      </c>
      <c r="D46" s="10" t="s">
        <v>92</v>
      </c>
      <c r="E46" s="11">
        <v>427474</v>
      </c>
      <c r="F46" s="12">
        <v>3822.4725079999998</v>
      </c>
      <c r="G46" s="13">
        <v>6.4521300000000004E-3</v>
      </c>
      <c r="H46" s="8" t="s">
        <v>13</v>
      </c>
    </row>
    <row r="47" spans="1:8" x14ac:dyDescent="0.2">
      <c r="A47" s="9">
        <v>41</v>
      </c>
      <c r="B47" s="10" t="s">
        <v>116</v>
      </c>
      <c r="C47" s="10" t="s">
        <v>117</v>
      </c>
      <c r="D47" s="10" t="s">
        <v>34</v>
      </c>
      <c r="E47" s="11">
        <v>254000</v>
      </c>
      <c r="F47" s="12">
        <v>3817.62</v>
      </c>
      <c r="G47" s="13">
        <v>6.4439400000000004E-3</v>
      </c>
      <c r="H47" s="8" t="s">
        <v>13</v>
      </c>
    </row>
    <row r="48" spans="1:8" x14ac:dyDescent="0.2">
      <c r="A48" s="9">
        <v>42</v>
      </c>
      <c r="B48" s="10" t="s">
        <v>118</v>
      </c>
      <c r="C48" s="10" t="s">
        <v>119</v>
      </c>
      <c r="D48" s="10" t="s">
        <v>51</v>
      </c>
      <c r="E48" s="11">
        <v>680000</v>
      </c>
      <c r="F48" s="12">
        <v>3551.98</v>
      </c>
      <c r="G48" s="13">
        <v>5.9955599999999996E-3</v>
      </c>
      <c r="H48" s="8" t="s">
        <v>13</v>
      </c>
    </row>
    <row r="49" spans="1:8" x14ac:dyDescent="0.2">
      <c r="A49" s="9">
        <v>43</v>
      </c>
      <c r="B49" s="10" t="s">
        <v>120</v>
      </c>
      <c r="C49" s="10" t="s">
        <v>121</v>
      </c>
      <c r="D49" s="10" t="s">
        <v>122</v>
      </c>
      <c r="E49" s="11">
        <v>500000</v>
      </c>
      <c r="F49" s="12">
        <v>3427.75</v>
      </c>
      <c r="G49" s="13">
        <v>5.7858600000000003E-3</v>
      </c>
      <c r="H49" s="8" t="s">
        <v>13</v>
      </c>
    </row>
    <row r="50" spans="1:8" ht="25.5" x14ac:dyDescent="0.2">
      <c r="A50" s="9">
        <v>44</v>
      </c>
      <c r="B50" s="10" t="s">
        <v>123</v>
      </c>
      <c r="C50" s="10" t="s">
        <v>124</v>
      </c>
      <c r="D50" s="10" t="s">
        <v>76</v>
      </c>
      <c r="E50" s="11">
        <v>63210</v>
      </c>
      <c r="F50" s="12">
        <v>3231.73767</v>
      </c>
      <c r="G50" s="13">
        <v>5.4549999999999998E-3</v>
      </c>
      <c r="H50" s="8" t="s">
        <v>13</v>
      </c>
    </row>
    <row r="51" spans="1:8" x14ac:dyDescent="0.2">
      <c r="A51" s="9">
        <v>45</v>
      </c>
      <c r="B51" s="10" t="s">
        <v>125</v>
      </c>
      <c r="C51" s="10" t="s">
        <v>126</v>
      </c>
      <c r="D51" s="10" t="s">
        <v>108</v>
      </c>
      <c r="E51" s="11">
        <v>181947</v>
      </c>
      <c r="F51" s="12">
        <v>3067.8083670000001</v>
      </c>
      <c r="G51" s="13">
        <v>5.1783000000000003E-3</v>
      </c>
      <c r="H51" s="8" t="s">
        <v>13</v>
      </c>
    </row>
    <row r="52" spans="1:8" x14ac:dyDescent="0.2">
      <c r="A52" s="9">
        <v>46</v>
      </c>
      <c r="B52" s="10" t="s">
        <v>127</v>
      </c>
      <c r="C52" s="10" t="s">
        <v>128</v>
      </c>
      <c r="D52" s="10" t="s">
        <v>25</v>
      </c>
      <c r="E52" s="11">
        <v>748686</v>
      </c>
      <c r="F52" s="12">
        <v>3056.1362519999998</v>
      </c>
      <c r="G52" s="13">
        <v>5.1586000000000002E-3</v>
      </c>
      <c r="H52" s="8" t="s">
        <v>13</v>
      </c>
    </row>
    <row r="53" spans="1:8" x14ac:dyDescent="0.2">
      <c r="A53" s="9">
        <v>47</v>
      </c>
      <c r="B53" s="10" t="s">
        <v>129</v>
      </c>
      <c r="C53" s="10" t="s">
        <v>130</v>
      </c>
      <c r="D53" s="10" t="s">
        <v>92</v>
      </c>
      <c r="E53" s="11">
        <v>289043</v>
      </c>
      <c r="F53" s="12">
        <v>2809.2089169999999</v>
      </c>
      <c r="G53" s="13">
        <v>4.7418E-3</v>
      </c>
      <c r="H53" s="8" t="s">
        <v>13</v>
      </c>
    </row>
    <row r="54" spans="1:8" x14ac:dyDescent="0.2">
      <c r="A54" s="9">
        <v>48</v>
      </c>
      <c r="B54" s="10" t="s">
        <v>131</v>
      </c>
      <c r="C54" s="10" t="s">
        <v>132</v>
      </c>
      <c r="D54" s="10" t="s">
        <v>86</v>
      </c>
      <c r="E54" s="11">
        <v>711857</v>
      </c>
      <c r="F54" s="12">
        <v>2523.8889935000002</v>
      </c>
      <c r="G54" s="13">
        <v>4.2601899999999996E-3</v>
      </c>
      <c r="H54" s="8" t="s">
        <v>13</v>
      </c>
    </row>
    <row r="55" spans="1:8" x14ac:dyDescent="0.2">
      <c r="A55" s="9">
        <v>49</v>
      </c>
      <c r="B55" s="10" t="s">
        <v>133</v>
      </c>
      <c r="C55" s="10" t="s">
        <v>134</v>
      </c>
      <c r="D55" s="10" t="s">
        <v>81</v>
      </c>
      <c r="E55" s="11">
        <v>300000</v>
      </c>
      <c r="F55" s="12">
        <v>2363.1</v>
      </c>
      <c r="G55" s="13">
        <v>3.9887899999999999E-3</v>
      </c>
      <c r="H55" s="8" t="s">
        <v>13</v>
      </c>
    </row>
    <row r="56" spans="1:8" x14ac:dyDescent="0.2">
      <c r="A56" s="9">
        <v>50</v>
      </c>
      <c r="B56" s="10" t="s">
        <v>135</v>
      </c>
      <c r="C56" s="10" t="s">
        <v>136</v>
      </c>
      <c r="D56" s="10" t="s">
        <v>137</v>
      </c>
      <c r="E56" s="11">
        <v>1100000</v>
      </c>
      <c r="F56" s="12">
        <v>2079.9899999999998</v>
      </c>
      <c r="G56" s="13">
        <v>3.5109099999999999E-3</v>
      </c>
      <c r="H56" s="8" t="s">
        <v>13</v>
      </c>
    </row>
    <row r="57" spans="1:8" x14ac:dyDescent="0.2">
      <c r="A57" s="9">
        <v>51</v>
      </c>
      <c r="B57" s="10" t="s">
        <v>138</v>
      </c>
      <c r="C57" s="10" t="s">
        <v>139</v>
      </c>
      <c r="D57" s="10" t="s">
        <v>108</v>
      </c>
      <c r="E57" s="11">
        <v>37500</v>
      </c>
      <c r="F57" s="12">
        <v>2070</v>
      </c>
      <c r="G57" s="13">
        <v>3.4940499999999998E-3</v>
      </c>
      <c r="H57" s="8" t="s">
        <v>13</v>
      </c>
    </row>
    <row r="58" spans="1:8" x14ac:dyDescent="0.2">
      <c r="A58" s="9">
        <v>52</v>
      </c>
      <c r="B58" s="10" t="s">
        <v>140</v>
      </c>
      <c r="C58" s="10" t="s">
        <v>141</v>
      </c>
      <c r="D58" s="10" t="s">
        <v>142</v>
      </c>
      <c r="E58" s="11">
        <v>675000</v>
      </c>
      <c r="F58" s="12">
        <v>2062.4625000000001</v>
      </c>
      <c r="G58" s="13">
        <v>3.4813299999999999E-3</v>
      </c>
      <c r="H58" s="8" t="s">
        <v>13</v>
      </c>
    </row>
    <row r="59" spans="1:8" x14ac:dyDescent="0.2">
      <c r="A59" s="9">
        <v>53</v>
      </c>
      <c r="B59" s="10" t="s">
        <v>143</v>
      </c>
      <c r="C59" s="10" t="s">
        <v>144</v>
      </c>
      <c r="D59" s="10" t="s">
        <v>92</v>
      </c>
      <c r="E59" s="11">
        <v>43534</v>
      </c>
      <c r="F59" s="12">
        <v>2004.871302</v>
      </c>
      <c r="G59" s="13">
        <v>3.38412E-3</v>
      </c>
      <c r="H59" s="8" t="s">
        <v>13</v>
      </c>
    </row>
    <row r="60" spans="1:8" x14ac:dyDescent="0.2">
      <c r="A60" s="9">
        <v>54</v>
      </c>
      <c r="B60" s="10" t="s">
        <v>145</v>
      </c>
      <c r="C60" s="10" t="s">
        <v>146</v>
      </c>
      <c r="D60" s="10" t="s">
        <v>34</v>
      </c>
      <c r="E60" s="11">
        <v>26082</v>
      </c>
      <c r="F60" s="12">
        <v>1905.2900999999999</v>
      </c>
      <c r="G60" s="13">
        <v>3.2160299999999999E-3</v>
      </c>
      <c r="H60" s="8" t="s">
        <v>13</v>
      </c>
    </row>
    <row r="61" spans="1:8" x14ac:dyDescent="0.2">
      <c r="A61" s="9">
        <v>55</v>
      </c>
      <c r="B61" s="10" t="s">
        <v>147</v>
      </c>
      <c r="C61" s="10" t="s">
        <v>148</v>
      </c>
      <c r="D61" s="10" t="s">
        <v>34</v>
      </c>
      <c r="E61" s="11">
        <v>75625</v>
      </c>
      <c r="F61" s="12">
        <v>1867.1812500000001</v>
      </c>
      <c r="G61" s="13">
        <v>3.1516999999999999E-3</v>
      </c>
      <c r="H61" s="8" t="s">
        <v>13</v>
      </c>
    </row>
    <row r="62" spans="1:8" x14ac:dyDescent="0.2">
      <c r="A62" s="9">
        <v>56</v>
      </c>
      <c r="B62" s="10" t="s">
        <v>149</v>
      </c>
      <c r="C62" s="10" t="s">
        <v>150</v>
      </c>
      <c r="D62" s="10" t="s">
        <v>108</v>
      </c>
      <c r="E62" s="11">
        <v>1040041</v>
      </c>
      <c r="F62" s="12">
        <v>1814.6635368</v>
      </c>
      <c r="G62" s="13">
        <v>3.0630599999999998E-3</v>
      </c>
      <c r="H62" s="8" t="s">
        <v>13</v>
      </c>
    </row>
    <row r="63" spans="1:8" x14ac:dyDescent="0.2">
      <c r="A63" s="9">
        <v>57</v>
      </c>
      <c r="B63" s="10" t="s">
        <v>151</v>
      </c>
      <c r="C63" s="10" t="s">
        <v>152</v>
      </c>
      <c r="D63" s="10" t="s">
        <v>89</v>
      </c>
      <c r="E63" s="11">
        <v>78363</v>
      </c>
      <c r="F63" s="12">
        <v>1735.975539</v>
      </c>
      <c r="G63" s="13">
        <v>2.9302400000000002E-3</v>
      </c>
      <c r="H63" s="8" t="s">
        <v>13</v>
      </c>
    </row>
    <row r="64" spans="1:8" x14ac:dyDescent="0.2">
      <c r="A64" s="9">
        <v>58</v>
      </c>
      <c r="B64" s="10" t="s">
        <v>153</v>
      </c>
      <c r="C64" s="10" t="s">
        <v>154</v>
      </c>
      <c r="D64" s="10" t="s">
        <v>37</v>
      </c>
      <c r="E64" s="11">
        <v>253518</v>
      </c>
      <c r="F64" s="12">
        <v>1633.2897149999999</v>
      </c>
      <c r="G64" s="13">
        <v>2.75691E-3</v>
      </c>
      <c r="H64" s="8" t="s">
        <v>13</v>
      </c>
    </row>
    <row r="65" spans="1:9" x14ac:dyDescent="0.2">
      <c r="A65" s="9">
        <v>59</v>
      </c>
      <c r="B65" s="10" t="s">
        <v>155</v>
      </c>
      <c r="C65" s="10" t="s">
        <v>156</v>
      </c>
      <c r="D65" s="10" t="s">
        <v>157</v>
      </c>
      <c r="E65" s="11">
        <v>217058</v>
      </c>
      <c r="F65" s="12">
        <v>836.32447400000001</v>
      </c>
      <c r="G65" s="13">
        <v>1.4116700000000001E-3</v>
      </c>
      <c r="H65" s="8" t="s">
        <v>13</v>
      </c>
    </row>
    <row r="66" spans="1:9" x14ac:dyDescent="0.2">
      <c r="A66" s="9">
        <v>60</v>
      </c>
      <c r="B66" s="10" t="s">
        <v>158</v>
      </c>
      <c r="C66" s="10" t="s">
        <v>159</v>
      </c>
      <c r="D66" s="10" t="s">
        <v>160</v>
      </c>
      <c r="E66" s="11">
        <v>26667</v>
      </c>
      <c r="F66" s="12">
        <v>0.01</v>
      </c>
      <c r="G66" s="14" t="s">
        <v>161</v>
      </c>
      <c r="H66" s="8" t="s">
        <v>13</v>
      </c>
      <c r="I66" s="15"/>
    </row>
    <row r="67" spans="1:9" x14ac:dyDescent="0.2">
      <c r="A67" s="6"/>
      <c r="B67" s="6"/>
      <c r="C67" s="7" t="s">
        <v>162</v>
      </c>
      <c r="D67" s="6"/>
      <c r="E67" s="6" t="s">
        <v>13</v>
      </c>
      <c r="F67" s="16">
        <f>SUM(F7:F66)</f>
        <v>419970.33872929995</v>
      </c>
      <c r="G67" s="17">
        <f>SUM(G7:G66)</f>
        <v>0.70888794999999993</v>
      </c>
      <c r="H67" s="8" t="s">
        <v>13</v>
      </c>
    </row>
    <row r="68" spans="1:9" x14ac:dyDescent="0.2">
      <c r="A68" s="6"/>
      <c r="B68" s="6"/>
      <c r="C68" s="18"/>
      <c r="D68" s="6"/>
      <c r="E68" s="6"/>
      <c r="F68" s="19"/>
      <c r="G68" s="19"/>
      <c r="H68" s="8" t="s">
        <v>13</v>
      </c>
    </row>
    <row r="69" spans="1:9" x14ac:dyDescent="0.2">
      <c r="A69" s="6"/>
      <c r="B69" s="6"/>
      <c r="C69" s="7" t="s">
        <v>163</v>
      </c>
      <c r="D69" s="6"/>
      <c r="E69" s="6"/>
      <c r="F69" s="6"/>
      <c r="G69" s="6"/>
      <c r="H69" s="8" t="s">
        <v>13</v>
      </c>
    </row>
    <row r="70" spans="1:9" x14ac:dyDescent="0.2">
      <c r="A70" s="6"/>
      <c r="B70" s="6"/>
      <c r="C70" s="7" t="s">
        <v>162</v>
      </c>
      <c r="D70" s="6"/>
      <c r="E70" s="6" t="s">
        <v>13</v>
      </c>
      <c r="F70" s="20" t="s">
        <v>164</v>
      </c>
      <c r="G70" s="17">
        <v>0</v>
      </c>
      <c r="H70" s="8" t="s">
        <v>13</v>
      </c>
    </row>
    <row r="71" spans="1:9" x14ac:dyDescent="0.2">
      <c r="A71" s="6"/>
      <c r="B71" s="6"/>
      <c r="C71" s="18"/>
      <c r="D71" s="6"/>
      <c r="E71" s="6"/>
      <c r="F71" s="19"/>
      <c r="G71" s="19"/>
      <c r="H71" s="8" t="s">
        <v>13</v>
      </c>
    </row>
    <row r="72" spans="1:9" x14ac:dyDescent="0.2">
      <c r="A72" s="6"/>
      <c r="B72" s="6"/>
      <c r="C72" s="7" t="s">
        <v>165</v>
      </c>
      <c r="D72" s="6"/>
      <c r="E72" s="6"/>
      <c r="F72" s="6"/>
      <c r="G72" s="6"/>
      <c r="H72" s="8" t="s">
        <v>13</v>
      </c>
    </row>
    <row r="73" spans="1:9" x14ac:dyDescent="0.2">
      <c r="A73" s="9">
        <v>1</v>
      </c>
      <c r="B73" s="10" t="s">
        <v>166</v>
      </c>
      <c r="C73" s="10" t="s">
        <v>167</v>
      </c>
      <c r="D73" s="10" t="s">
        <v>81</v>
      </c>
      <c r="E73" s="11">
        <v>30579</v>
      </c>
      <c r="F73" s="12">
        <v>4.7275134000000003</v>
      </c>
      <c r="G73" s="13" t="s">
        <v>161</v>
      </c>
      <c r="H73" s="8" t="s">
        <v>13</v>
      </c>
    </row>
    <row r="74" spans="1:9" x14ac:dyDescent="0.2">
      <c r="A74" s="6"/>
      <c r="B74" s="6"/>
      <c r="C74" s="7" t="s">
        <v>162</v>
      </c>
      <c r="D74" s="6"/>
      <c r="E74" s="6" t="s">
        <v>13</v>
      </c>
      <c r="F74" s="16">
        <f>SUM(F73)</f>
        <v>4.7275134000000003</v>
      </c>
      <c r="G74" s="17">
        <v>0</v>
      </c>
      <c r="H74" s="8" t="s">
        <v>13</v>
      </c>
    </row>
    <row r="75" spans="1:9" x14ac:dyDescent="0.2">
      <c r="A75" s="6"/>
      <c r="B75" s="6"/>
      <c r="C75" s="18"/>
      <c r="D75" s="6"/>
      <c r="E75" s="6"/>
      <c r="F75" s="19"/>
      <c r="G75" s="19"/>
      <c r="H75" s="8" t="s">
        <v>13</v>
      </c>
    </row>
    <row r="76" spans="1:9" x14ac:dyDescent="0.2">
      <c r="A76" s="6"/>
      <c r="B76" s="6"/>
      <c r="C76" s="7" t="s">
        <v>168</v>
      </c>
      <c r="D76" s="6"/>
      <c r="E76" s="6"/>
      <c r="F76" s="6"/>
      <c r="G76" s="6"/>
      <c r="H76" s="8" t="s">
        <v>13</v>
      </c>
    </row>
    <row r="77" spans="1:9" x14ac:dyDescent="0.2">
      <c r="A77" s="6"/>
      <c r="B77" s="6"/>
      <c r="C77" s="7" t="s">
        <v>162</v>
      </c>
      <c r="D77" s="6"/>
      <c r="E77" s="6" t="s">
        <v>13</v>
      </c>
      <c r="F77" s="20" t="s">
        <v>164</v>
      </c>
      <c r="G77" s="17">
        <v>0</v>
      </c>
      <c r="H77" s="8" t="s">
        <v>13</v>
      </c>
    </row>
    <row r="78" spans="1:9" x14ac:dyDescent="0.2">
      <c r="A78" s="6"/>
      <c r="B78" s="6"/>
      <c r="C78" s="18"/>
      <c r="D78" s="6"/>
      <c r="E78" s="6"/>
      <c r="F78" s="19"/>
      <c r="G78" s="19"/>
      <c r="H78" s="8" t="s">
        <v>13</v>
      </c>
    </row>
    <row r="79" spans="1:9" x14ac:dyDescent="0.2">
      <c r="A79" s="6"/>
      <c r="B79" s="6"/>
      <c r="C79" s="7" t="s">
        <v>169</v>
      </c>
      <c r="D79" s="6"/>
      <c r="E79" s="6"/>
      <c r="F79" s="19"/>
      <c r="G79" s="19"/>
      <c r="H79" s="8" t="s">
        <v>13</v>
      </c>
    </row>
    <row r="80" spans="1:9" x14ac:dyDescent="0.2">
      <c r="A80" s="6"/>
      <c r="B80" s="6"/>
      <c r="C80" s="7" t="s">
        <v>162</v>
      </c>
      <c r="D80" s="6"/>
      <c r="E80" s="6" t="s">
        <v>13</v>
      </c>
      <c r="F80" s="20" t="s">
        <v>164</v>
      </c>
      <c r="G80" s="17">
        <v>0</v>
      </c>
      <c r="H80" s="8" t="s">
        <v>13</v>
      </c>
    </row>
    <row r="81" spans="1:8" x14ac:dyDescent="0.2">
      <c r="A81" s="6"/>
      <c r="B81" s="6"/>
      <c r="C81" s="7"/>
      <c r="D81" s="6"/>
      <c r="E81" s="6"/>
      <c r="F81" s="20"/>
      <c r="G81" s="17"/>
      <c r="H81" s="8" t="s">
        <v>13</v>
      </c>
    </row>
    <row r="82" spans="1:8" x14ac:dyDescent="0.2">
      <c r="A82" s="6"/>
      <c r="B82" s="6"/>
      <c r="C82" s="7" t="s">
        <v>170</v>
      </c>
      <c r="D82" s="6"/>
      <c r="E82" s="6"/>
      <c r="F82" s="6"/>
      <c r="G82" s="6"/>
      <c r="H82" s="8" t="s">
        <v>13</v>
      </c>
    </row>
    <row r="83" spans="1:8" ht="25.5" x14ac:dyDescent="0.2">
      <c r="A83" s="9">
        <v>1</v>
      </c>
      <c r="B83" s="10" t="s">
        <v>171</v>
      </c>
      <c r="C83" s="10" t="s">
        <v>172</v>
      </c>
      <c r="D83" s="10" t="s">
        <v>173</v>
      </c>
      <c r="E83" s="11">
        <v>1750</v>
      </c>
      <c r="F83" s="12">
        <f>200307683.63/10^5</f>
        <v>2003.0768363</v>
      </c>
      <c r="G83" s="13">
        <f>F83/F182</f>
        <v>3.3810889053307075E-3</v>
      </c>
      <c r="H83" s="8">
        <v>7.53</v>
      </c>
    </row>
    <row r="84" spans="1:8" x14ac:dyDescent="0.2">
      <c r="A84" s="6"/>
      <c r="B84" s="6"/>
      <c r="C84" s="7" t="s">
        <v>162</v>
      </c>
      <c r="D84" s="6"/>
      <c r="E84" s="6" t="s">
        <v>13</v>
      </c>
      <c r="F84" s="16">
        <f>SUM(F83)</f>
        <v>2003.0768363</v>
      </c>
      <c r="G84" s="17">
        <f>SUM(G83)</f>
        <v>3.3810889053307075E-3</v>
      </c>
      <c r="H84" s="8" t="s">
        <v>13</v>
      </c>
    </row>
    <row r="85" spans="1:8" x14ac:dyDescent="0.2">
      <c r="A85" s="6"/>
      <c r="B85" s="6"/>
      <c r="C85" s="18"/>
      <c r="D85" s="6"/>
      <c r="E85" s="6"/>
      <c r="F85" s="19"/>
      <c r="G85" s="19"/>
      <c r="H85" s="8" t="s">
        <v>13</v>
      </c>
    </row>
    <row r="86" spans="1:8" x14ac:dyDescent="0.2">
      <c r="A86" s="6"/>
      <c r="B86" s="6"/>
      <c r="C86" s="7" t="s">
        <v>174</v>
      </c>
      <c r="D86" s="6"/>
      <c r="E86" s="6"/>
      <c r="F86" s="19"/>
      <c r="G86" s="19"/>
      <c r="H86" s="8" t="s">
        <v>13</v>
      </c>
    </row>
    <row r="87" spans="1:8" x14ac:dyDescent="0.2">
      <c r="A87" s="9">
        <v>1</v>
      </c>
      <c r="B87" s="10"/>
      <c r="C87" s="10" t="s">
        <v>175</v>
      </c>
      <c r="D87" s="10" t="s">
        <v>176</v>
      </c>
      <c r="E87" s="11">
        <v>49250</v>
      </c>
      <c r="F87" s="12">
        <v>4266.5275000000001</v>
      </c>
      <c r="G87" s="13">
        <v>7.2016800000000002E-3</v>
      </c>
      <c r="H87" s="8" t="s">
        <v>13</v>
      </c>
    </row>
    <row r="88" spans="1:8" x14ac:dyDescent="0.2">
      <c r="A88" s="6"/>
      <c r="B88" s="6"/>
      <c r="C88" s="7" t="s">
        <v>162</v>
      </c>
      <c r="D88" s="6"/>
      <c r="E88" s="6" t="s">
        <v>13</v>
      </c>
      <c r="F88" s="16">
        <v>4266.5275000000001</v>
      </c>
      <c r="G88" s="17">
        <v>7.2016800000000002E-3</v>
      </c>
      <c r="H88" s="8" t="s">
        <v>13</v>
      </c>
    </row>
    <row r="89" spans="1:8" x14ac:dyDescent="0.2">
      <c r="A89" s="6"/>
      <c r="B89" s="6"/>
      <c r="C89" s="18"/>
      <c r="D89" s="6"/>
      <c r="E89" s="6"/>
      <c r="F89" s="19"/>
      <c r="G89" s="19"/>
      <c r="H89" s="8" t="s">
        <v>13</v>
      </c>
    </row>
    <row r="90" spans="1:8" x14ac:dyDescent="0.2">
      <c r="A90" s="6"/>
      <c r="B90" s="6"/>
      <c r="C90" s="7" t="s">
        <v>177</v>
      </c>
      <c r="D90" s="6"/>
      <c r="E90" s="6"/>
      <c r="F90" s="16">
        <f>F88+F84+F67+F74</f>
        <v>426244.67057899997</v>
      </c>
      <c r="G90" s="17">
        <f>G88+G84+G67+G74</f>
        <v>0.71947071890533065</v>
      </c>
      <c r="H90" s="8" t="s">
        <v>13</v>
      </c>
    </row>
    <row r="91" spans="1:8" x14ac:dyDescent="0.2">
      <c r="A91" s="6"/>
      <c r="B91" s="6"/>
      <c r="C91" s="18"/>
      <c r="D91" s="6"/>
      <c r="E91" s="6"/>
      <c r="F91" s="19"/>
      <c r="G91" s="19"/>
      <c r="H91" s="8" t="s">
        <v>13</v>
      </c>
    </row>
    <row r="92" spans="1:8" x14ac:dyDescent="0.2">
      <c r="A92" s="6"/>
      <c r="B92" s="6"/>
      <c r="C92" s="7" t="s">
        <v>178</v>
      </c>
      <c r="D92" s="6"/>
      <c r="E92" s="6"/>
      <c r="F92" s="19"/>
      <c r="G92" s="19"/>
      <c r="H92" s="8" t="s">
        <v>13</v>
      </c>
    </row>
    <row r="93" spans="1:8" x14ac:dyDescent="0.2">
      <c r="A93" s="6"/>
      <c r="B93" s="6"/>
      <c r="C93" s="7" t="s">
        <v>14</v>
      </c>
      <c r="D93" s="6"/>
      <c r="E93" s="6"/>
      <c r="F93" s="19"/>
      <c r="G93" s="19"/>
      <c r="H93" s="8" t="s">
        <v>13</v>
      </c>
    </row>
    <row r="94" spans="1:8" ht="25.5" x14ac:dyDescent="0.2">
      <c r="A94" s="9">
        <v>1</v>
      </c>
      <c r="B94" s="10" t="s">
        <v>179</v>
      </c>
      <c r="C94" s="10" t="s">
        <v>180</v>
      </c>
      <c r="D94" s="10" t="s">
        <v>181</v>
      </c>
      <c r="E94" s="11">
        <v>6000</v>
      </c>
      <c r="F94" s="12">
        <v>6090.12</v>
      </c>
      <c r="G94" s="13">
        <v>1.02798E-2</v>
      </c>
      <c r="H94" s="8">
        <v>6.9</v>
      </c>
    </row>
    <row r="95" spans="1:8" ht="25.5" x14ac:dyDescent="0.2">
      <c r="A95" s="9">
        <v>2</v>
      </c>
      <c r="B95" s="10" t="s">
        <v>182</v>
      </c>
      <c r="C95" s="10" t="s">
        <v>183</v>
      </c>
      <c r="D95" s="10" t="s">
        <v>184</v>
      </c>
      <c r="E95" s="11">
        <v>3500</v>
      </c>
      <c r="F95" s="12">
        <v>3525.0985000000001</v>
      </c>
      <c r="G95" s="13">
        <v>5.9501800000000002E-3</v>
      </c>
      <c r="H95" s="8">
        <v>6.92</v>
      </c>
    </row>
    <row r="96" spans="1:8" ht="25.5" x14ac:dyDescent="0.2">
      <c r="A96" s="9">
        <v>3</v>
      </c>
      <c r="B96" s="10" t="s">
        <v>185</v>
      </c>
      <c r="C96" s="10" t="s">
        <v>186</v>
      </c>
      <c r="D96" s="10" t="s">
        <v>187</v>
      </c>
      <c r="E96" s="11">
        <v>3000</v>
      </c>
      <c r="F96" s="12">
        <v>3072.6480000000001</v>
      </c>
      <c r="G96" s="13">
        <v>5.1864700000000003E-3</v>
      </c>
      <c r="H96" s="8">
        <v>7.7991999999999999</v>
      </c>
    </row>
    <row r="97" spans="1:8" x14ac:dyDescent="0.2">
      <c r="A97" s="9">
        <v>4</v>
      </c>
      <c r="B97" s="10" t="s">
        <v>188</v>
      </c>
      <c r="C97" s="10" t="s">
        <v>189</v>
      </c>
      <c r="D97" s="10" t="s">
        <v>184</v>
      </c>
      <c r="E97" s="11">
        <v>3000</v>
      </c>
      <c r="F97" s="12">
        <v>3060.57</v>
      </c>
      <c r="G97" s="13">
        <v>5.16608E-3</v>
      </c>
      <c r="H97" s="8">
        <v>7.49</v>
      </c>
    </row>
    <row r="98" spans="1:8" ht="25.5" x14ac:dyDescent="0.2">
      <c r="A98" s="9">
        <v>5</v>
      </c>
      <c r="B98" s="10" t="s">
        <v>190</v>
      </c>
      <c r="C98" s="10" t="s">
        <v>191</v>
      </c>
      <c r="D98" s="10" t="s">
        <v>184</v>
      </c>
      <c r="E98" s="11">
        <v>2500</v>
      </c>
      <c r="F98" s="12">
        <v>2667.9724999999999</v>
      </c>
      <c r="G98" s="13">
        <v>4.5034000000000003E-3</v>
      </c>
      <c r="H98" s="8">
        <v>7.0057</v>
      </c>
    </row>
    <row r="99" spans="1:8" ht="25.5" x14ac:dyDescent="0.2">
      <c r="A99" s="9">
        <v>6</v>
      </c>
      <c r="B99" s="10" t="s">
        <v>192</v>
      </c>
      <c r="C99" s="10" t="s">
        <v>193</v>
      </c>
      <c r="D99" s="10" t="s">
        <v>184</v>
      </c>
      <c r="E99" s="11">
        <v>2500</v>
      </c>
      <c r="F99" s="12">
        <v>2627.8449999999998</v>
      </c>
      <c r="G99" s="13">
        <v>4.4356700000000001E-3</v>
      </c>
      <c r="H99" s="8">
        <v>7.0475000000000003</v>
      </c>
    </row>
    <row r="100" spans="1:8" ht="25.5" x14ac:dyDescent="0.2">
      <c r="A100" s="9">
        <v>7</v>
      </c>
      <c r="B100" s="10" t="s">
        <v>194</v>
      </c>
      <c r="C100" s="10" t="s">
        <v>195</v>
      </c>
      <c r="D100" s="10" t="s">
        <v>184</v>
      </c>
      <c r="E100" s="11">
        <v>250</v>
      </c>
      <c r="F100" s="12">
        <v>2618.8225000000002</v>
      </c>
      <c r="G100" s="13">
        <v>4.4204400000000003E-3</v>
      </c>
      <c r="H100" s="8">
        <v>7.21</v>
      </c>
    </row>
    <row r="101" spans="1:8" ht="25.5" x14ac:dyDescent="0.2">
      <c r="A101" s="9">
        <v>8</v>
      </c>
      <c r="B101" s="10" t="s">
        <v>196</v>
      </c>
      <c r="C101" s="10" t="s">
        <v>197</v>
      </c>
      <c r="D101" s="10" t="s">
        <v>184</v>
      </c>
      <c r="E101" s="11">
        <v>2500</v>
      </c>
      <c r="F101" s="12">
        <v>2560.0675000000001</v>
      </c>
      <c r="G101" s="13">
        <v>4.3212600000000004E-3</v>
      </c>
      <c r="H101" s="8">
        <v>6.8803999999999998</v>
      </c>
    </row>
    <row r="102" spans="1:8" x14ac:dyDescent="0.2">
      <c r="A102" s="9">
        <v>9</v>
      </c>
      <c r="B102" s="10" t="s">
        <v>198</v>
      </c>
      <c r="C102" s="10" t="s">
        <v>199</v>
      </c>
      <c r="D102" s="10" t="s">
        <v>184</v>
      </c>
      <c r="E102" s="11">
        <v>2500</v>
      </c>
      <c r="F102" s="12">
        <v>2542.87</v>
      </c>
      <c r="G102" s="13">
        <v>4.2922300000000002E-3</v>
      </c>
      <c r="H102" s="8">
        <v>7.05</v>
      </c>
    </row>
    <row r="103" spans="1:8" ht="25.5" x14ac:dyDescent="0.2">
      <c r="A103" s="9">
        <v>10</v>
      </c>
      <c r="B103" s="10" t="s">
        <v>200</v>
      </c>
      <c r="C103" s="10" t="s">
        <v>201</v>
      </c>
      <c r="D103" s="10" t="s">
        <v>184</v>
      </c>
      <c r="E103" s="11">
        <v>2500</v>
      </c>
      <c r="F103" s="12">
        <v>2540.8175000000001</v>
      </c>
      <c r="G103" s="13">
        <v>4.2887699999999999E-3</v>
      </c>
      <c r="H103" s="8">
        <v>6.9</v>
      </c>
    </row>
    <row r="104" spans="1:8" ht="25.5" x14ac:dyDescent="0.2">
      <c r="A104" s="9">
        <v>11</v>
      </c>
      <c r="B104" s="10" t="s">
        <v>202</v>
      </c>
      <c r="C104" s="10" t="s">
        <v>203</v>
      </c>
      <c r="D104" s="10" t="s">
        <v>181</v>
      </c>
      <c r="E104" s="11">
        <v>2500</v>
      </c>
      <c r="F104" s="12">
        <v>2540.4625000000001</v>
      </c>
      <c r="G104" s="13">
        <v>4.28817E-3</v>
      </c>
      <c r="H104" s="8">
        <v>6.9291</v>
      </c>
    </row>
    <row r="105" spans="1:8" x14ac:dyDescent="0.2">
      <c r="A105" s="9">
        <v>12</v>
      </c>
      <c r="B105" s="10" t="s">
        <v>204</v>
      </c>
      <c r="C105" s="10" t="s">
        <v>205</v>
      </c>
      <c r="D105" s="10" t="s">
        <v>206</v>
      </c>
      <c r="E105" s="11">
        <v>2500</v>
      </c>
      <c r="F105" s="12">
        <v>2518.62</v>
      </c>
      <c r="G105" s="13">
        <v>4.2513000000000004E-3</v>
      </c>
      <c r="H105" s="8">
        <v>8.0500000000000007</v>
      </c>
    </row>
    <row r="106" spans="1:8" ht="25.5" x14ac:dyDescent="0.2">
      <c r="A106" s="9">
        <v>13</v>
      </c>
      <c r="B106" s="10" t="s">
        <v>207</v>
      </c>
      <c r="C106" s="10" t="s">
        <v>208</v>
      </c>
      <c r="D106" s="10" t="s">
        <v>184</v>
      </c>
      <c r="E106" s="11">
        <v>2500</v>
      </c>
      <c r="F106" s="12">
        <v>2514.9724999999999</v>
      </c>
      <c r="G106" s="13">
        <v>4.2451399999999997E-3</v>
      </c>
      <c r="H106" s="8">
        <v>6.9</v>
      </c>
    </row>
    <row r="107" spans="1:8" ht="25.5" x14ac:dyDescent="0.2">
      <c r="A107" s="9">
        <v>14</v>
      </c>
      <c r="B107" s="10" t="s">
        <v>209</v>
      </c>
      <c r="C107" s="10" t="s">
        <v>210</v>
      </c>
      <c r="D107" s="10" t="s">
        <v>184</v>
      </c>
      <c r="E107" s="11">
        <v>2000</v>
      </c>
      <c r="F107" s="12">
        <v>2056.0859999999998</v>
      </c>
      <c r="G107" s="13">
        <v>3.4705700000000001E-3</v>
      </c>
      <c r="H107" s="8">
        <v>7</v>
      </c>
    </row>
    <row r="108" spans="1:8" x14ac:dyDescent="0.2">
      <c r="A108" s="9">
        <v>15</v>
      </c>
      <c r="B108" s="10" t="s">
        <v>211</v>
      </c>
      <c r="C108" s="10" t="s">
        <v>212</v>
      </c>
      <c r="D108" s="10" t="s">
        <v>184</v>
      </c>
      <c r="E108" s="11">
        <v>2000</v>
      </c>
      <c r="F108" s="12">
        <v>2048.5619999999999</v>
      </c>
      <c r="G108" s="13">
        <v>3.45787E-3</v>
      </c>
      <c r="H108" s="8">
        <v>7.4749999999999996</v>
      </c>
    </row>
    <row r="109" spans="1:8" x14ac:dyDescent="0.2">
      <c r="A109" s="9">
        <v>16</v>
      </c>
      <c r="B109" s="10" t="s">
        <v>213</v>
      </c>
      <c r="C109" s="10" t="s">
        <v>214</v>
      </c>
      <c r="D109" s="10" t="s">
        <v>181</v>
      </c>
      <c r="E109" s="11">
        <v>2000</v>
      </c>
      <c r="F109" s="12">
        <v>2029.56</v>
      </c>
      <c r="G109" s="13">
        <v>3.4257900000000002E-3</v>
      </c>
      <c r="H109" s="8">
        <v>6.8270999999999997</v>
      </c>
    </row>
    <row r="110" spans="1:8" ht="25.5" x14ac:dyDescent="0.2">
      <c r="A110" s="9">
        <v>17</v>
      </c>
      <c r="B110" s="10" t="s">
        <v>215</v>
      </c>
      <c r="C110" s="10" t="s">
        <v>216</v>
      </c>
      <c r="D110" s="10" t="s">
        <v>184</v>
      </c>
      <c r="E110" s="11">
        <v>2000</v>
      </c>
      <c r="F110" s="12">
        <v>2024.894</v>
      </c>
      <c r="G110" s="13">
        <v>3.4179200000000001E-3</v>
      </c>
      <c r="H110" s="8">
        <v>6.7880000000000003</v>
      </c>
    </row>
    <row r="111" spans="1:8" ht="25.5" x14ac:dyDescent="0.2">
      <c r="A111" s="9">
        <v>18</v>
      </c>
      <c r="B111" s="10" t="s">
        <v>217</v>
      </c>
      <c r="C111" s="10" t="s">
        <v>218</v>
      </c>
      <c r="D111" s="10" t="s">
        <v>184</v>
      </c>
      <c r="E111" s="11">
        <v>1500</v>
      </c>
      <c r="F111" s="12">
        <v>1595.2125000000001</v>
      </c>
      <c r="G111" s="13">
        <v>2.6926400000000001E-3</v>
      </c>
      <c r="H111" s="8">
        <v>6.9755000000000003</v>
      </c>
    </row>
    <row r="112" spans="1:8" ht="25.5" x14ac:dyDescent="0.2">
      <c r="A112" s="9">
        <v>19</v>
      </c>
      <c r="B112" s="10" t="s">
        <v>219</v>
      </c>
      <c r="C112" s="10" t="s">
        <v>220</v>
      </c>
      <c r="D112" s="10" t="s">
        <v>184</v>
      </c>
      <c r="E112" s="11">
        <v>1500</v>
      </c>
      <c r="F112" s="12">
        <v>1552.425</v>
      </c>
      <c r="G112" s="13">
        <v>2.6204100000000001E-3</v>
      </c>
      <c r="H112" s="8">
        <v>7.21</v>
      </c>
    </row>
    <row r="113" spans="1:8" ht="25.5" x14ac:dyDescent="0.2">
      <c r="A113" s="9">
        <v>20</v>
      </c>
      <c r="B113" s="10" t="s">
        <v>221</v>
      </c>
      <c r="C113" s="10" t="s">
        <v>222</v>
      </c>
      <c r="D113" s="10" t="s">
        <v>184</v>
      </c>
      <c r="E113" s="11">
        <v>1500</v>
      </c>
      <c r="F113" s="12">
        <v>1541.4045000000001</v>
      </c>
      <c r="G113" s="13">
        <v>2.60181E-3</v>
      </c>
      <c r="H113" s="8">
        <v>6.9218999999999999</v>
      </c>
    </row>
    <row r="114" spans="1:8" ht="25.5" x14ac:dyDescent="0.2">
      <c r="A114" s="9">
        <v>21</v>
      </c>
      <c r="B114" s="10" t="s">
        <v>223</v>
      </c>
      <c r="C114" s="10" t="s">
        <v>224</v>
      </c>
      <c r="D114" s="10" t="s">
        <v>184</v>
      </c>
      <c r="E114" s="11">
        <v>1500</v>
      </c>
      <c r="F114" s="12">
        <v>1536.1575</v>
      </c>
      <c r="G114" s="13">
        <v>2.5929500000000001E-3</v>
      </c>
      <c r="H114" s="8">
        <v>6.8375000000000004</v>
      </c>
    </row>
    <row r="115" spans="1:8" ht="25.5" x14ac:dyDescent="0.2">
      <c r="A115" s="9">
        <v>22</v>
      </c>
      <c r="B115" s="10" t="s">
        <v>225</v>
      </c>
      <c r="C115" s="10" t="s">
        <v>226</v>
      </c>
      <c r="D115" s="10" t="s">
        <v>181</v>
      </c>
      <c r="E115" s="11">
        <v>1500</v>
      </c>
      <c r="F115" s="12">
        <v>1522.653</v>
      </c>
      <c r="G115" s="13">
        <v>2.5701600000000002E-3</v>
      </c>
      <c r="H115" s="8">
        <v>6.9275000000000002</v>
      </c>
    </row>
    <row r="116" spans="1:8" ht="25.5" x14ac:dyDescent="0.2">
      <c r="A116" s="9">
        <v>23</v>
      </c>
      <c r="B116" s="10" t="s">
        <v>227</v>
      </c>
      <c r="C116" s="10" t="s">
        <v>228</v>
      </c>
      <c r="D116" s="10" t="s">
        <v>184</v>
      </c>
      <c r="E116" s="11">
        <v>1500</v>
      </c>
      <c r="F116" s="12">
        <v>1515.6569999999999</v>
      </c>
      <c r="G116" s="13">
        <v>2.55835E-3</v>
      </c>
      <c r="H116" s="8">
        <v>6.8593999999999999</v>
      </c>
    </row>
    <row r="117" spans="1:8" ht="25.5" x14ac:dyDescent="0.2">
      <c r="A117" s="9">
        <v>24</v>
      </c>
      <c r="B117" s="10" t="s">
        <v>229</v>
      </c>
      <c r="C117" s="10" t="s">
        <v>230</v>
      </c>
      <c r="D117" s="10" t="s">
        <v>184</v>
      </c>
      <c r="E117" s="11">
        <v>1500</v>
      </c>
      <c r="F117" s="12">
        <v>1500.9045000000001</v>
      </c>
      <c r="G117" s="13">
        <v>2.53345E-3</v>
      </c>
      <c r="H117" s="8">
        <v>7.09</v>
      </c>
    </row>
    <row r="118" spans="1:8" ht="25.5" x14ac:dyDescent="0.2">
      <c r="A118" s="9">
        <v>25</v>
      </c>
      <c r="B118" s="10" t="s">
        <v>231</v>
      </c>
      <c r="C118" s="10" t="s">
        <v>232</v>
      </c>
      <c r="D118" s="10" t="s">
        <v>184</v>
      </c>
      <c r="E118" s="11">
        <v>150</v>
      </c>
      <c r="F118" s="12">
        <v>1481.9069999999999</v>
      </c>
      <c r="G118" s="13">
        <v>2.5013800000000001E-3</v>
      </c>
      <c r="H118" s="8">
        <v>7.1050000000000004</v>
      </c>
    </row>
    <row r="119" spans="1:8" ht="25.5" x14ac:dyDescent="0.2">
      <c r="A119" s="9">
        <v>26</v>
      </c>
      <c r="B119" s="10" t="s">
        <v>233</v>
      </c>
      <c r="C119" s="10" t="s">
        <v>234</v>
      </c>
      <c r="D119" s="10" t="s">
        <v>184</v>
      </c>
      <c r="E119" s="11">
        <v>1000</v>
      </c>
      <c r="F119" s="12">
        <v>1016.221</v>
      </c>
      <c r="G119" s="13">
        <v>1.7153299999999999E-3</v>
      </c>
      <c r="H119" s="8">
        <v>6.9</v>
      </c>
    </row>
    <row r="120" spans="1:8" ht="25.5" x14ac:dyDescent="0.2">
      <c r="A120" s="9">
        <v>27</v>
      </c>
      <c r="B120" s="10" t="s">
        <v>235</v>
      </c>
      <c r="C120" s="10" t="s">
        <v>236</v>
      </c>
      <c r="D120" s="10" t="s">
        <v>237</v>
      </c>
      <c r="E120" s="11">
        <v>1000</v>
      </c>
      <c r="F120" s="12">
        <v>1010.619</v>
      </c>
      <c r="G120" s="13">
        <v>1.70587E-3</v>
      </c>
      <c r="H120" s="8">
        <v>7.6050000000000004</v>
      </c>
    </row>
    <row r="121" spans="1:8" x14ac:dyDescent="0.2">
      <c r="A121" s="9">
        <v>28</v>
      </c>
      <c r="B121" s="10" t="s">
        <v>238</v>
      </c>
      <c r="C121" s="10" t="s">
        <v>239</v>
      </c>
      <c r="D121" s="10" t="s">
        <v>181</v>
      </c>
      <c r="E121" s="11">
        <v>1000</v>
      </c>
      <c r="F121" s="12">
        <v>1010.066</v>
      </c>
      <c r="G121" s="13">
        <v>1.7049400000000001E-3</v>
      </c>
      <c r="H121" s="8">
        <v>7.43</v>
      </c>
    </row>
    <row r="122" spans="1:8" x14ac:dyDescent="0.2">
      <c r="A122" s="9">
        <v>29</v>
      </c>
      <c r="B122" s="10" t="s">
        <v>240</v>
      </c>
      <c r="C122" s="10" t="s">
        <v>241</v>
      </c>
      <c r="D122" s="10" t="s">
        <v>184</v>
      </c>
      <c r="E122" s="11">
        <v>1000</v>
      </c>
      <c r="F122" s="12">
        <v>1007.093</v>
      </c>
      <c r="G122" s="13">
        <v>1.6999199999999999E-3</v>
      </c>
      <c r="H122" s="8">
        <v>6.8579999999999997</v>
      </c>
    </row>
    <row r="123" spans="1:8" x14ac:dyDescent="0.2">
      <c r="A123" s="9">
        <v>30</v>
      </c>
      <c r="B123" s="10" t="s">
        <v>242</v>
      </c>
      <c r="C123" s="10" t="s">
        <v>243</v>
      </c>
      <c r="D123" s="10" t="s">
        <v>184</v>
      </c>
      <c r="E123" s="11">
        <v>1000</v>
      </c>
      <c r="F123" s="12">
        <v>1005.443</v>
      </c>
      <c r="G123" s="13">
        <v>1.69714E-3</v>
      </c>
      <c r="H123" s="8">
        <v>6.8550000000000004</v>
      </c>
    </row>
    <row r="124" spans="1:8" ht="25.5" x14ac:dyDescent="0.2">
      <c r="A124" s="9">
        <v>31</v>
      </c>
      <c r="B124" s="10" t="s">
        <v>244</v>
      </c>
      <c r="C124" s="10" t="s">
        <v>245</v>
      </c>
      <c r="D124" s="10" t="s">
        <v>184</v>
      </c>
      <c r="E124" s="11">
        <v>1000</v>
      </c>
      <c r="F124" s="12">
        <v>1003.362</v>
      </c>
      <c r="G124" s="13">
        <v>1.6936200000000001E-3</v>
      </c>
      <c r="H124" s="8">
        <v>6.99</v>
      </c>
    </row>
    <row r="125" spans="1:8" x14ac:dyDescent="0.2">
      <c r="A125" s="9">
        <v>32</v>
      </c>
      <c r="B125" s="10" t="s">
        <v>246</v>
      </c>
      <c r="C125" s="10" t="s">
        <v>247</v>
      </c>
      <c r="D125" s="10" t="s">
        <v>184</v>
      </c>
      <c r="E125" s="11">
        <v>1000</v>
      </c>
      <c r="F125" s="12">
        <v>1003.329</v>
      </c>
      <c r="G125" s="13">
        <v>1.6935699999999999E-3</v>
      </c>
      <c r="H125" s="8">
        <v>6.94</v>
      </c>
    </row>
    <row r="126" spans="1:8" ht="25.5" x14ac:dyDescent="0.2">
      <c r="A126" s="9">
        <v>33</v>
      </c>
      <c r="B126" s="10" t="s">
        <v>248</v>
      </c>
      <c r="C126" s="10" t="s">
        <v>249</v>
      </c>
      <c r="D126" s="10" t="s">
        <v>184</v>
      </c>
      <c r="E126" s="11">
        <v>100</v>
      </c>
      <c r="F126" s="12">
        <v>1003.3150000000001</v>
      </c>
      <c r="G126" s="13">
        <v>1.6935400000000001E-3</v>
      </c>
      <c r="H126" s="8">
        <v>7.5</v>
      </c>
    </row>
    <row r="127" spans="1:8" x14ac:dyDescent="0.2">
      <c r="A127" s="6"/>
      <c r="B127" s="6"/>
      <c r="C127" s="7" t="s">
        <v>162</v>
      </c>
      <c r="D127" s="6"/>
      <c r="E127" s="6" t="s">
        <v>13</v>
      </c>
      <c r="F127" s="16">
        <v>67345.757500000007</v>
      </c>
      <c r="G127" s="17">
        <v>0.11367613999999999</v>
      </c>
      <c r="H127" s="8" t="s">
        <v>13</v>
      </c>
    </row>
    <row r="128" spans="1:8" x14ac:dyDescent="0.2">
      <c r="A128" s="6"/>
      <c r="B128" s="6"/>
      <c r="C128" s="18"/>
      <c r="D128" s="6"/>
      <c r="E128" s="6"/>
      <c r="F128" s="19"/>
      <c r="G128" s="19"/>
      <c r="H128" s="8" t="s">
        <v>13</v>
      </c>
    </row>
    <row r="129" spans="1:8" x14ac:dyDescent="0.2">
      <c r="A129" s="6"/>
      <c r="B129" s="6"/>
      <c r="C129" s="7" t="s">
        <v>250</v>
      </c>
      <c r="D129" s="6"/>
      <c r="E129" s="6"/>
      <c r="F129" s="6"/>
      <c r="G129" s="6"/>
      <c r="H129" s="8" t="s">
        <v>13</v>
      </c>
    </row>
    <row r="130" spans="1:8" x14ac:dyDescent="0.2">
      <c r="A130" s="6"/>
      <c r="B130" s="6"/>
      <c r="C130" s="7" t="s">
        <v>162</v>
      </c>
      <c r="D130" s="6"/>
      <c r="E130" s="6" t="s">
        <v>13</v>
      </c>
      <c r="F130" s="20" t="s">
        <v>164</v>
      </c>
      <c r="G130" s="17">
        <v>0</v>
      </c>
      <c r="H130" s="8" t="s">
        <v>13</v>
      </c>
    </row>
    <row r="131" spans="1:8" x14ac:dyDescent="0.2">
      <c r="A131" s="6"/>
      <c r="B131" s="6"/>
      <c r="C131" s="18"/>
      <c r="D131" s="6"/>
      <c r="E131" s="6"/>
      <c r="F131" s="19"/>
      <c r="G131" s="19"/>
      <c r="H131" s="8" t="s">
        <v>13</v>
      </c>
    </row>
    <row r="132" spans="1:8" x14ac:dyDescent="0.2">
      <c r="A132" s="6"/>
      <c r="B132" s="6"/>
      <c r="C132" s="7" t="s">
        <v>251</v>
      </c>
      <c r="D132" s="6"/>
      <c r="E132" s="6"/>
      <c r="F132" s="6"/>
      <c r="G132" s="6"/>
      <c r="H132" s="8" t="s">
        <v>13</v>
      </c>
    </row>
    <row r="133" spans="1:8" ht="25.5" x14ac:dyDescent="0.2">
      <c r="A133" s="9">
        <v>1</v>
      </c>
      <c r="B133" s="10" t="s">
        <v>252</v>
      </c>
      <c r="C133" s="10" t="s">
        <v>253</v>
      </c>
      <c r="D133" s="10" t="s">
        <v>254</v>
      </c>
      <c r="E133" s="11">
        <v>30000000</v>
      </c>
      <c r="F133" s="12">
        <v>31480.35</v>
      </c>
      <c r="G133" s="13">
        <v>5.3137179999999999E-2</v>
      </c>
      <c r="H133" s="8">
        <v>6.4678000000000004</v>
      </c>
    </row>
    <row r="134" spans="1:8" ht="25.5" x14ac:dyDescent="0.2">
      <c r="A134" s="9">
        <v>2</v>
      </c>
      <c r="B134" s="10" t="s">
        <v>255</v>
      </c>
      <c r="C134" s="10" t="s">
        <v>256</v>
      </c>
      <c r="D134" s="10" t="s">
        <v>254</v>
      </c>
      <c r="E134" s="11">
        <v>10000000</v>
      </c>
      <c r="F134" s="12">
        <v>10704.1</v>
      </c>
      <c r="G134" s="13">
        <v>1.8067960000000001E-2</v>
      </c>
      <c r="H134" s="8">
        <v>6.5606</v>
      </c>
    </row>
    <row r="135" spans="1:8" x14ac:dyDescent="0.2">
      <c r="A135" s="9">
        <v>3</v>
      </c>
      <c r="B135" s="10" t="s">
        <v>257</v>
      </c>
      <c r="C135" s="10" t="s">
        <v>258</v>
      </c>
      <c r="D135" s="10" t="s">
        <v>254</v>
      </c>
      <c r="E135" s="11">
        <v>3000000</v>
      </c>
      <c r="F135" s="12">
        <v>3182.4360000000001</v>
      </c>
      <c r="G135" s="13">
        <v>5.3717900000000004E-3</v>
      </c>
      <c r="H135" s="8">
        <v>6.5559000000000003</v>
      </c>
    </row>
    <row r="136" spans="1:8" ht="25.5" x14ac:dyDescent="0.2">
      <c r="A136" s="9">
        <v>4</v>
      </c>
      <c r="B136" s="10" t="s">
        <v>259</v>
      </c>
      <c r="C136" s="10" t="s">
        <v>260</v>
      </c>
      <c r="D136" s="10" t="s">
        <v>254</v>
      </c>
      <c r="E136" s="11">
        <v>2750000</v>
      </c>
      <c r="F136" s="12">
        <v>2948.0082499999999</v>
      </c>
      <c r="G136" s="13">
        <v>4.9760799999999999E-3</v>
      </c>
      <c r="H136" s="8">
        <v>6.9264999999999999</v>
      </c>
    </row>
    <row r="137" spans="1:8" x14ac:dyDescent="0.2">
      <c r="A137" s="9">
        <v>5</v>
      </c>
      <c r="B137" s="10" t="s">
        <v>261</v>
      </c>
      <c r="C137" s="10" t="s">
        <v>262</v>
      </c>
      <c r="D137" s="10" t="s">
        <v>254</v>
      </c>
      <c r="E137" s="11">
        <v>2500000</v>
      </c>
      <c r="F137" s="12">
        <v>2661.8274999999999</v>
      </c>
      <c r="G137" s="13">
        <v>4.4930300000000003E-3</v>
      </c>
      <c r="H137" s="8">
        <v>6.8956</v>
      </c>
    </row>
    <row r="138" spans="1:8" ht="25.5" x14ac:dyDescent="0.2">
      <c r="A138" s="9">
        <v>6</v>
      </c>
      <c r="B138" s="10" t="s">
        <v>263</v>
      </c>
      <c r="C138" s="10" t="s">
        <v>264</v>
      </c>
      <c r="D138" s="10" t="s">
        <v>254</v>
      </c>
      <c r="E138" s="11">
        <v>2500000</v>
      </c>
      <c r="F138" s="12">
        <v>2586.9</v>
      </c>
      <c r="G138" s="13">
        <v>4.3665500000000003E-3</v>
      </c>
      <c r="H138" s="8">
        <v>6.1916000000000002</v>
      </c>
    </row>
    <row r="139" spans="1:8" ht="25.5" x14ac:dyDescent="0.2">
      <c r="A139" s="9">
        <v>7</v>
      </c>
      <c r="B139" s="10" t="s">
        <v>265</v>
      </c>
      <c r="C139" s="10" t="s">
        <v>266</v>
      </c>
      <c r="D139" s="10" t="s">
        <v>254</v>
      </c>
      <c r="E139" s="11">
        <v>1500000</v>
      </c>
      <c r="F139" s="12">
        <v>1565.4675</v>
      </c>
      <c r="G139" s="13">
        <v>2.6424299999999999E-3</v>
      </c>
      <c r="H139" s="8">
        <v>6.2472000000000003</v>
      </c>
    </row>
    <row r="140" spans="1:8" ht="38.25" x14ac:dyDescent="0.2">
      <c r="A140" s="9">
        <v>8</v>
      </c>
      <c r="B140" s="10" t="s">
        <v>267</v>
      </c>
      <c r="C140" s="10" t="s">
        <v>268</v>
      </c>
      <c r="D140" s="10" t="s">
        <v>254</v>
      </c>
      <c r="E140" s="11">
        <v>1500000</v>
      </c>
      <c r="F140" s="12">
        <v>1512.9359999999999</v>
      </c>
      <c r="G140" s="13">
        <v>2.55376E-3</v>
      </c>
      <c r="H140" s="8">
        <v>7.01</v>
      </c>
    </row>
    <row r="141" spans="1:8" ht="25.5" x14ac:dyDescent="0.2">
      <c r="A141" s="9">
        <v>9</v>
      </c>
      <c r="B141" s="10" t="s">
        <v>269</v>
      </c>
      <c r="C141" s="10" t="s">
        <v>270</v>
      </c>
      <c r="D141" s="10" t="s">
        <v>254</v>
      </c>
      <c r="E141" s="11">
        <v>1270000</v>
      </c>
      <c r="F141" s="12">
        <v>1334.2035800000001</v>
      </c>
      <c r="G141" s="13">
        <v>2.2520700000000001E-3</v>
      </c>
      <c r="H141" s="8">
        <v>6.7864000000000004</v>
      </c>
    </row>
    <row r="142" spans="1:8" x14ac:dyDescent="0.2">
      <c r="A142" s="6"/>
      <c r="B142" s="6"/>
      <c r="C142" s="7" t="s">
        <v>162</v>
      </c>
      <c r="D142" s="6"/>
      <c r="E142" s="6" t="s">
        <v>13</v>
      </c>
      <c r="F142" s="16">
        <v>57976.22883</v>
      </c>
      <c r="G142" s="17">
        <v>9.7860849999999999E-2</v>
      </c>
      <c r="H142" s="8" t="s">
        <v>13</v>
      </c>
    </row>
    <row r="143" spans="1:8" x14ac:dyDescent="0.2">
      <c r="A143" s="6"/>
      <c r="B143" s="6"/>
      <c r="C143" s="18"/>
      <c r="D143" s="6"/>
      <c r="E143" s="6"/>
      <c r="F143" s="19"/>
      <c r="G143" s="19"/>
      <c r="H143" s="8" t="s">
        <v>13</v>
      </c>
    </row>
    <row r="144" spans="1:8" x14ac:dyDescent="0.2">
      <c r="A144" s="6"/>
      <c r="B144" s="6"/>
      <c r="C144" s="7" t="s">
        <v>271</v>
      </c>
      <c r="D144" s="6"/>
      <c r="E144" s="6"/>
      <c r="F144" s="19"/>
      <c r="G144" s="19"/>
      <c r="H144" s="8" t="s">
        <v>13</v>
      </c>
    </row>
    <row r="145" spans="1:8" x14ac:dyDescent="0.2">
      <c r="A145" s="6"/>
      <c r="B145" s="6"/>
      <c r="C145" s="7" t="s">
        <v>162</v>
      </c>
      <c r="D145" s="6"/>
      <c r="E145" s="6" t="s">
        <v>13</v>
      </c>
      <c r="F145" s="20" t="s">
        <v>164</v>
      </c>
      <c r="G145" s="17">
        <v>0</v>
      </c>
      <c r="H145" s="8" t="s">
        <v>13</v>
      </c>
    </row>
    <row r="146" spans="1:8" x14ac:dyDescent="0.2">
      <c r="A146" s="6"/>
      <c r="B146" s="6"/>
      <c r="C146" s="18"/>
      <c r="D146" s="6"/>
      <c r="E146" s="6"/>
      <c r="F146" s="19"/>
      <c r="G146" s="19"/>
      <c r="H146" s="8" t="s">
        <v>13</v>
      </c>
    </row>
    <row r="147" spans="1:8" x14ac:dyDescent="0.2">
      <c r="A147" s="6"/>
      <c r="B147" s="6"/>
      <c r="C147" s="7" t="s">
        <v>272</v>
      </c>
      <c r="D147" s="6"/>
      <c r="E147" s="6"/>
      <c r="F147" s="16">
        <v>125321.98633</v>
      </c>
      <c r="G147" s="17">
        <v>0.21153699000000001</v>
      </c>
      <c r="H147" s="8" t="s">
        <v>13</v>
      </c>
    </row>
    <row r="148" spans="1:8" x14ac:dyDescent="0.2">
      <c r="A148" s="6"/>
      <c r="B148" s="6"/>
      <c r="C148" s="18"/>
      <c r="D148" s="6"/>
      <c r="E148" s="6"/>
      <c r="F148" s="19"/>
      <c r="G148" s="19"/>
      <c r="H148" s="8" t="s">
        <v>13</v>
      </c>
    </row>
    <row r="149" spans="1:8" x14ac:dyDescent="0.2">
      <c r="A149" s="6"/>
      <c r="B149" s="6"/>
      <c r="C149" s="7" t="s">
        <v>273</v>
      </c>
      <c r="D149" s="6"/>
      <c r="E149" s="6"/>
      <c r="F149" s="19"/>
      <c r="G149" s="19"/>
      <c r="H149" s="8" t="s">
        <v>13</v>
      </c>
    </row>
    <row r="150" spans="1:8" x14ac:dyDescent="0.2">
      <c r="A150" s="6"/>
      <c r="B150" s="6"/>
      <c r="C150" s="7" t="s">
        <v>274</v>
      </c>
      <c r="D150" s="6"/>
      <c r="E150" s="6"/>
      <c r="F150" s="19"/>
      <c r="G150" s="19"/>
      <c r="H150" s="8" t="s">
        <v>13</v>
      </c>
    </row>
    <row r="151" spans="1:8" x14ac:dyDescent="0.2">
      <c r="A151" s="9">
        <v>1</v>
      </c>
      <c r="B151" s="10" t="s">
        <v>275</v>
      </c>
      <c r="C151" s="10" t="s">
        <v>276</v>
      </c>
      <c r="D151" s="10" t="s">
        <v>277</v>
      </c>
      <c r="E151" s="11">
        <v>500</v>
      </c>
      <c r="F151" s="12">
        <v>2499.58</v>
      </c>
      <c r="G151" s="13">
        <v>4.2191599999999996E-3</v>
      </c>
      <c r="H151" s="8">
        <v>6.149</v>
      </c>
    </row>
    <row r="152" spans="1:8" x14ac:dyDescent="0.2">
      <c r="A152" s="9">
        <v>2</v>
      </c>
      <c r="B152" s="10" t="s">
        <v>278</v>
      </c>
      <c r="C152" s="10" t="s">
        <v>279</v>
      </c>
      <c r="D152" s="10" t="s">
        <v>277</v>
      </c>
      <c r="E152" s="11">
        <v>100</v>
      </c>
      <c r="F152" s="12">
        <v>475.601</v>
      </c>
      <c r="G152" s="13">
        <v>8.0278999999999995E-4</v>
      </c>
      <c r="H152" s="8">
        <v>6.7115</v>
      </c>
    </row>
    <row r="153" spans="1:8" x14ac:dyDescent="0.2">
      <c r="A153" s="6"/>
      <c r="B153" s="6"/>
      <c r="C153" s="7" t="s">
        <v>162</v>
      </c>
      <c r="D153" s="6"/>
      <c r="E153" s="6" t="s">
        <v>13</v>
      </c>
      <c r="F153" s="16">
        <v>2975.181</v>
      </c>
      <c r="G153" s="17">
        <v>5.0219499999999999E-3</v>
      </c>
      <c r="H153" s="8" t="s">
        <v>13</v>
      </c>
    </row>
    <row r="154" spans="1:8" x14ac:dyDescent="0.2">
      <c r="A154" s="6"/>
      <c r="B154" s="6"/>
      <c r="C154" s="18"/>
      <c r="D154" s="6"/>
      <c r="E154" s="6"/>
      <c r="F154" s="19"/>
      <c r="G154" s="19"/>
      <c r="H154" s="8" t="s">
        <v>13</v>
      </c>
    </row>
    <row r="155" spans="1:8" x14ac:dyDescent="0.2">
      <c r="A155" s="6"/>
      <c r="B155" s="6"/>
      <c r="C155" s="7" t="s">
        <v>280</v>
      </c>
      <c r="D155" s="6"/>
      <c r="E155" s="6"/>
      <c r="F155" s="19"/>
      <c r="G155" s="19"/>
      <c r="H155" s="8" t="s">
        <v>13</v>
      </c>
    </row>
    <row r="156" spans="1:8" x14ac:dyDescent="0.2">
      <c r="A156" s="6"/>
      <c r="B156" s="6"/>
      <c r="C156" s="7" t="s">
        <v>162</v>
      </c>
      <c r="D156" s="6"/>
      <c r="E156" s="6" t="s">
        <v>13</v>
      </c>
      <c r="F156" s="20" t="s">
        <v>164</v>
      </c>
      <c r="G156" s="17">
        <v>0</v>
      </c>
      <c r="H156" s="8" t="s">
        <v>13</v>
      </c>
    </row>
    <row r="157" spans="1:8" x14ac:dyDescent="0.2">
      <c r="A157" s="6"/>
      <c r="B157" s="6"/>
      <c r="C157" s="18"/>
      <c r="D157" s="6"/>
      <c r="E157" s="6"/>
      <c r="F157" s="19"/>
      <c r="G157" s="19"/>
      <c r="H157" s="8" t="s">
        <v>13</v>
      </c>
    </row>
    <row r="158" spans="1:8" x14ac:dyDescent="0.2">
      <c r="A158" s="6"/>
      <c r="B158" s="6"/>
      <c r="C158" s="7" t="s">
        <v>281</v>
      </c>
      <c r="D158" s="6"/>
      <c r="E158" s="6"/>
      <c r="F158" s="19"/>
      <c r="G158" s="19"/>
      <c r="H158" s="8" t="s">
        <v>13</v>
      </c>
    </row>
    <row r="159" spans="1:8" x14ac:dyDescent="0.2">
      <c r="A159" s="6"/>
      <c r="B159" s="6"/>
      <c r="C159" s="7" t="s">
        <v>162</v>
      </c>
      <c r="D159" s="6"/>
      <c r="E159" s="6" t="s">
        <v>13</v>
      </c>
      <c r="F159" s="20" t="s">
        <v>164</v>
      </c>
      <c r="G159" s="17">
        <v>0</v>
      </c>
      <c r="H159" s="8" t="s">
        <v>13</v>
      </c>
    </row>
    <row r="160" spans="1:8" x14ac:dyDescent="0.2">
      <c r="A160" s="6"/>
      <c r="B160" s="6"/>
      <c r="C160" s="18"/>
      <c r="D160" s="6"/>
      <c r="E160" s="6"/>
      <c r="F160" s="19"/>
      <c r="G160" s="19"/>
      <c r="H160" s="8" t="s">
        <v>13</v>
      </c>
    </row>
    <row r="161" spans="1:8" x14ac:dyDescent="0.2">
      <c r="A161" s="6"/>
      <c r="B161" s="6"/>
      <c r="C161" s="7" t="s">
        <v>282</v>
      </c>
      <c r="D161" s="6"/>
      <c r="E161" s="6"/>
      <c r="F161" s="19"/>
      <c r="G161" s="19"/>
      <c r="H161" s="8" t="s">
        <v>13</v>
      </c>
    </row>
    <row r="162" spans="1:8" x14ac:dyDescent="0.2">
      <c r="A162" s="9">
        <v>1</v>
      </c>
      <c r="B162" s="10"/>
      <c r="C162" s="10" t="s">
        <v>283</v>
      </c>
      <c r="D162" s="10"/>
      <c r="E162" s="21"/>
      <c r="F162" s="12">
        <v>17298.459487369</v>
      </c>
      <c r="G162" s="13">
        <v>2.91989E-2</v>
      </c>
      <c r="H162" s="8">
        <v>5.95</v>
      </c>
    </row>
    <row r="163" spans="1:8" x14ac:dyDescent="0.2">
      <c r="A163" s="6"/>
      <c r="B163" s="6"/>
      <c r="C163" s="7" t="s">
        <v>162</v>
      </c>
      <c r="D163" s="6"/>
      <c r="E163" s="6" t="s">
        <v>13</v>
      </c>
      <c r="F163" s="16">
        <v>17298.459487369</v>
      </c>
      <c r="G163" s="17">
        <v>2.91989E-2</v>
      </c>
      <c r="H163" s="8" t="s">
        <v>13</v>
      </c>
    </row>
    <row r="164" spans="1:8" x14ac:dyDescent="0.2">
      <c r="A164" s="6"/>
      <c r="B164" s="6"/>
      <c r="C164" s="18"/>
      <c r="D164" s="6"/>
      <c r="E164" s="6"/>
      <c r="F164" s="19"/>
      <c r="G164" s="19"/>
      <c r="H164" s="8" t="s">
        <v>13</v>
      </c>
    </row>
    <row r="165" spans="1:8" x14ac:dyDescent="0.2">
      <c r="A165" s="6"/>
      <c r="B165" s="6"/>
      <c r="C165" s="7" t="s">
        <v>284</v>
      </c>
      <c r="D165" s="6"/>
      <c r="E165" s="6"/>
      <c r="F165" s="16">
        <v>20273.640487369001</v>
      </c>
      <c r="G165" s="17">
        <v>3.4220849999999997E-2</v>
      </c>
      <c r="H165" s="8" t="s">
        <v>13</v>
      </c>
    </row>
    <row r="166" spans="1:8" x14ac:dyDescent="0.2">
      <c r="A166" s="6"/>
      <c r="B166" s="6"/>
      <c r="C166" s="19"/>
      <c r="D166" s="6"/>
      <c r="E166" s="6"/>
      <c r="F166" s="6"/>
      <c r="G166" s="6"/>
      <c r="H166" s="8" t="s">
        <v>13</v>
      </c>
    </row>
    <row r="167" spans="1:8" x14ac:dyDescent="0.2">
      <c r="A167" s="6"/>
      <c r="B167" s="6"/>
      <c r="C167" s="7" t="s">
        <v>285</v>
      </c>
      <c r="D167" s="6"/>
      <c r="E167" s="6"/>
      <c r="F167" s="6"/>
      <c r="G167" s="6"/>
      <c r="H167" s="8" t="s">
        <v>13</v>
      </c>
    </row>
    <row r="168" spans="1:8" x14ac:dyDescent="0.2">
      <c r="A168" s="6"/>
      <c r="B168" s="6"/>
      <c r="C168" s="7" t="s">
        <v>286</v>
      </c>
      <c r="D168" s="6"/>
      <c r="E168" s="6"/>
      <c r="F168" s="6"/>
      <c r="G168" s="6"/>
      <c r="H168" s="8" t="s">
        <v>13</v>
      </c>
    </row>
    <row r="169" spans="1:8" ht="25.5" x14ac:dyDescent="0.2">
      <c r="A169" s="9">
        <v>1</v>
      </c>
      <c r="B169" s="10" t="s">
        <v>287</v>
      </c>
      <c r="C169" s="10" t="s">
        <v>288</v>
      </c>
      <c r="D169" s="10"/>
      <c r="E169" s="22">
        <v>69857221.264300004</v>
      </c>
      <c r="F169" s="12">
        <v>10430.172135309</v>
      </c>
      <c r="G169" s="13">
        <v>1.7605590000000001E-2</v>
      </c>
      <c r="H169" s="8" t="s">
        <v>13</v>
      </c>
    </row>
    <row r="170" spans="1:8" x14ac:dyDescent="0.2">
      <c r="A170" s="9">
        <v>2</v>
      </c>
      <c r="B170" s="10" t="s">
        <v>289</v>
      </c>
      <c r="C170" s="10" t="s">
        <v>290</v>
      </c>
      <c r="D170" s="10"/>
      <c r="E170" s="22">
        <v>433882.353</v>
      </c>
      <c r="F170" s="12">
        <v>10002.36754865</v>
      </c>
      <c r="G170" s="13">
        <v>1.6883470000000001E-2</v>
      </c>
      <c r="H170" s="8" t="s">
        <v>13</v>
      </c>
    </row>
    <row r="171" spans="1:8" x14ac:dyDescent="0.2">
      <c r="A171" s="6"/>
      <c r="B171" s="6"/>
      <c r="C171" s="7" t="s">
        <v>162</v>
      </c>
      <c r="D171" s="6"/>
      <c r="E171" s="6" t="s">
        <v>13</v>
      </c>
      <c r="F171" s="16">
        <v>20432.539683958999</v>
      </c>
      <c r="G171" s="17">
        <v>3.4489060000000002E-2</v>
      </c>
      <c r="H171" s="8" t="s">
        <v>13</v>
      </c>
    </row>
    <row r="172" spans="1:8" x14ac:dyDescent="0.2">
      <c r="A172" s="6"/>
      <c r="B172" s="6"/>
      <c r="C172" s="18"/>
      <c r="D172" s="6"/>
      <c r="E172" s="6"/>
      <c r="F172" s="19"/>
      <c r="G172" s="19"/>
      <c r="H172" s="8" t="s">
        <v>13</v>
      </c>
    </row>
    <row r="173" spans="1:8" x14ac:dyDescent="0.2">
      <c r="A173" s="6"/>
      <c r="B173" s="6"/>
      <c r="C173" s="7" t="s">
        <v>291</v>
      </c>
      <c r="D173" s="6"/>
      <c r="E173" s="6"/>
      <c r="F173" s="6"/>
      <c r="G173" s="6"/>
      <c r="H173" s="8" t="s">
        <v>13</v>
      </c>
    </row>
    <row r="174" spans="1:8" x14ac:dyDescent="0.2">
      <c r="A174" s="6"/>
      <c r="B174" s="6"/>
      <c r="C174" s="7" t="s">
        <v>292</v>
      </c>
      <c r="D174" s="6"/>
      <c r="E174" s="6"/>
      <c r="F174" s="6"/>
      <c r="G174" s="6"/>
      <c r="H174" s="8" t="s">
        <v>13</v>
      </c>
    </row>
    <row r="175" spans="1:8" x14ac:dyDescent="0.2">
      <c r="A175" s="6"/>
      <c r="B175" s="6"/>
      <c r="C175" s="7" t="s">
        <v>162</v>
      </c>
      <c r="D175" s="6"/>
      <c r="E175" s="6" t="s">
        <v>13</v>
      </c>
      <c r="F175" s="20" t="s">
        <v>164</v>
      </c>
      <c r="G175" s="17">
        <v>0</v>
      </c>
      <c r="H175" s="8" t="s">
        <v>13</v>
      </c>
    </row>
    <row r="176" spans="1:8" x14ac:dyDescent="0.2">
      <c r="A176" s="6"/>
      <c r="B176" s="6"/>
      <c r="C176" s="18"/>
      <c r="D176" s="6"/>
      <c r="E176" s="6"/>
      <c r="F176" s="19"/>
      <c r="G176" s="19"/>
      <c r="H176" s="8" t="s">
        <v>13</v>
      </c>
    </row>
    <row r="177" spans="1:17" ht="25.5" x14ac:dyDescent="0.2">
      <c r="A177" s="6"/>
      <c r="B177" s="6"/>
      <c r="C177" s="7" t="s">
        <v>293</v>
      </c>
      <c r="D177" s="6"/>
      <c r="E177" s="6"/>
      <c r="F177" s="19"/>
      <c r="G177" s="19"/>
      <c r="H177" s="8" t="s">
        <v>13</v>
      </c>
    </row>
    <row r="178" spans="1:17" x14ac:dyDescent="0.2">
      <c r="A178" s="6"/>
      <c r="B178" s="6"/>
      <c r="C178" s="7" t="s">
        <v>162</v>
      </c>
      <c r="D178" s="6"/>
      <c r="E178" s="6" t="s">
        <v>13</v>
      </c>
      <c r="F178" s="20" t="s">
        <v>164</v>
      </c>
      <c r="G178" s="17">
        <v>0</v>
      </c>
      <c r="H178" s="8" t="s">
        <v>13</v>
      </c>
    </row>
    <row r="179" spans="1:17" x14ac:dyDescent="0.2">
      <c r="A179" s="6"/>
      <c r="B179" s="6"/>
      <c r="C179" s="18"/>
      <c r="D179" s="6"/>
      <c r="E179" s="6"/>
      <c r="F179" s="19"/>
      <c r="G179" s="19"/>
      <c r="H179" s="8" t="s">
        <v>13</v>
      </c>
    </row>
    <row r="180" spans="1:17" x14ac:dyDescent="0.2">
      <c r="A180" s="21"/>
      <c r="B180" s="10"/>
      <c r="C180" s="10" t="s">
        <v>294</v>
      </c>
      <c r="D180" s="10"/>
      <c r="E180" s="21"/>
      <c r="F180" s="12">
        <v>24.999804900000001</v>
      </c>
      <c r="G180" s="13">
        <v>4.2200000000000003E-5</v>
      </c>
      <c r="H180" s="8" t="s">
        <v>13</v>
      </c>
    </row>
    <row r="181" spans="1:17" x14ac:dyDescent="0.2">
      <c r="A181" s="21"/>
      <c r="B181" s="10"/>
      <c r="C181" s="10" t="s">
        <v>295</v>
      </c>
      <c r="D181" s="10"/>
      <c r="E181" s="21"/>
      <c r="F181" s="12">
        <f>137.59625372-F66</f>
        <v>137.58625372</v>
      </c>
      <c r="G181" s="13">
        <v>2.3226E-4</v>
      </c>
      <c r="H181" s="8" t="s">
        <v>13</v>
      </c>
    </row>
    <row r="182" spans="1:17" x14ac:dyDescent="0.2">
      <c r="A182" s="18"/>
      <c r="B182" s="18"/>
      <c r="C182" s="7" t="s">
        <v>296</v>
      </c>
      <c r="D182" s="19"/>
      <c r="E182" s="19"/>
      <c r="F182" s="16">
        <f>F181+F180+F171+F165+F147+F90</f>
        <v>592435.42313894792</v>
      </c>
      <c r="G182" s="23">
        <f>G181+G180+G171+G165+G147+G90</f>
        <v>0.99999207890533071</v>
      </c>
      <c r="H182" s="8" t="s">
        <v>13</v>
      </c>
    </row>
    <row r="183" spans="1:17" x14ac:dyDescent="0.2">
      <c r="A183" s="24"/>
      <c r="B183" s="24"/>
      <c r="C183" s="24"/>
      <c r="D183" s="25"/>
      <c r="E183" s="25"/>
      <c r="F183" s="25"/>
      <c r="G183" s="25"/>
    </row>
    <row r="184" spans="1:17" x14ac:dyDescent="0.2">
      <c r="A184" s="26"/>
      <c r="B184" s="27" t="s">
        <v>297</v>
      </c>
      <c r="C184" s="27"/>
      <c r="D184" s="27"/>
      <c r="E184" s="27"/>
      <c r="F184" s="27"/>
      <c r="G184" s="27"/>
      <c r="H184" s="27"/>
      <c r="J184" s="28"/>
    </row>
    <row r="185" spans="1:17" x14ac:dyDescent="0.2">
      <c r="A185" s="26"/>
      <c r="B185" s="27" t="s">
        <v>298</v>
      </c>
      <c r="C185" s="27"/>
      <c r="D185" s="27"/>
      <c r="E185" s="27"/>
      <c r="F185" s="27"/>
      <c r="G185" s="27"/>
      <c r="H185" s="27"/>
      <c r="J185" s="28"/>
    </row>
    <row r="186" spans="1:17" x14ac:dyDescent="0.2">
      <c r="A186" s="26"/>
      <c r="B186" s="27" t="s">
        <v>299</v>
      </c>
      <c r="C186" s="27"/>
      <c r="D186" s="27"/>
      <c r="E186" s="27"/>
      <c r="F186" s="27"/>
      <c r="G186" s="27"/>
      <c r="H186" s="27"/>
      <c r="J186" s="28"/>
    </row>
    <row r="187" spans="1:17" s="31" customFormat="1" ht="66.75" customHeight="1" x14ac:dyDescent="0.25">
      <c r="A187" s="29"/>
      <c r="B187" s="30" t="s">
        <v>300</v>
      </c>
      <c r="C187" s="30"/>
      <c r="D187" s="30"/>
      <c r="E187" s="30"/>
      <c r="F187" s="30"/>
      <c r="G187" s="30"/>
      <c r="H187" s="30"/>
      <c r="I187"/>
      <c r="J187" s="28"/>
      <c r="K187"/>
      <c r="L187"/>
      <c r="M187"/>
      <c r="N187"/>
      <c r="O187"/>
      <c r="P187"/>
      <c r="Q187"/>
    </row>
    <row r="188" spans="1:17" x14ac:dyDescent="0.2">
      <c r="A188" s="26"/>
      <c r="B188" s="27" t="s">
        <v>301</v>
      </c>
      <c r="C188" s="27"/>
      <c r="D188" s="27"/>
      <c r="E188" s="27"/>
      <c r="F188" s="27"/>
      <c r="G188" s="27"/>
      <c r="H188" s="27"/>
      <c r="J188" s="28"/>
    </row>
    <row r="189" spans="1:17" x14ac:dyDescent="0.2">
      <c r="A189" s="26"/>
      <c r="B189" s="26"/>
      <c r="C189" s="26"/>
      <c r="D189" s="32"/>
      <c r="E189" s="32"/>
      <c r="F189" s="32"/>
      <c r="G189" s="32"/>
    </row>
    <row r="190" spans="1:17" x14ac:dyDescent="0.2">
      <c r="A190" s="26"/>
      <c r="B190" s="33" t="s">
        <v>302</v>
      </c>
      <c r="C190" s="34"/>
      <c r="D190" s="35"/>
      <c r="E190" s="36"/>
      <c r="F190" s="32"/>
      <c r="G190" s="32"/>
    </row>
    <row r="191" spans="1:17" ht="25.5" customHeight="1" x14ac:dyDescent="0.2">
      <c r="A191" s="26"/>
      <c r="B191" s="37" t="s">
        <v>303</v>
      </c>
      <c r="C191" s="38"/>
      <c r="D191" s="7" t="s">
        <v>304</v>
      </c>
      <c r="E191" s="36"/>
      <c r="F191" s="32"/>
      <c r="G191" s="32"/>
    </row>
    <row r="192" spans="1:17" ht="12.75" customHeight="1" x14ac:dyDescent="0.2">
      <c r="A192" s="26"/>
      <c r="B192" s="37" t="s">
        <v>305</v>
      </c>
      <c r="C192" s="38"/>
      <c r="D192" s="7" t="str">
        <f>"Rs. "&amp;TEXT(F74,"0.00")&amp;" lacs/ #"</f>
        <v>Rs. 4.73 lacs/ #</v>
      </c>
      <c r="E192" s="36"/>
      <c r="F192" s="32"/>
      <c r="G192" s="32"/>
    </row>
    <row r="193" spans="1:10" x14ac:dyDescent="0.2">
      <c r="A193" s="26"/>
      <c r="B193" s="37" t="s">
        <v>306</v>
      </c>
      <c r="C193" s="38"/>
      <c r="D193" s="19" t="s">
        <v>13</v>
      </c>
      <c r="E193" s="36"/>
      <c r="F193" s="32"/>
      <c r="G193" s="32"/>
    </row>
    <row r="194" spans="1:10" x14ac:dyDescent="0.2">
      <c r="A194" s="39"/>
      <c r="B194" s="40" t="s">
        <v>13</v>
      </c>
      <c r="C194" s="40" t="s">
        <v>307</v>
      </c>
      <c r="D194" s="40" t="s">
        <v>308</v>
      </c>
      <c r="E194" s="39"/>
      <c r="F194" s="39"/>
      <c r="G194" s="39"/>
      <c r="H194" s="39"/>
      <c r="J194" s="28"/>
    </row>
    <row r="195" spans="1:10" x14ac:dyDescent="0.2">
      <c r="A195" s="39"/>
      <c r="B195" s="41" t="s">
        <v>309</v>
      </c>
      <c r="C195" s="42">
        <v>45747</v>
      </c>
      <c r="D195" s="42">
        <v>45777</v>
      </c>
      <c r="E195" s="39"/>
      <c r="F195" s="39"/>
      <c r="G195" s="39"/>
      <c r="J195" s="28"/>
    </row>
    <row r="196" spans="1:10" x14ac:dyDescent="0.2">
      <c r="A196" s="39"/>
      <c r="B196" s="10" t="s">
        <v>310</v>
      </c>
      <c r="C196" s="43">
        <v>174.04249999999999</v>
      </c>
      <c r="D196" s="43">
        <v>179.77889999999999</v>
      </c>
      <c r="E196" s="39"/>
      <c r="F196" s="44"/>
      <c r="G196" s="45"/>
    </row>
    <row r="197" spans="1:10" ht="25.5" x14ac:dyDescent="0.2">
      <c r="A197" s="39"/>
      <c r="B197" s="10" t="s">
        <v>311</v>
      </c>
      <c r="C197" s="43">
        <v>41.732700000000001</v>
      </c>
      <c r="D197" s="43">
        <v>42.752800000000001</v>
      </c>
      <c r="E197" s="39"/>
      <c r="F197" s="44"/>
      <c r="G197" s="45"/>
    </row>
    <row r="198" spans="1:10" x14ac:dyDescent="0.2">
      <c r="A198" s="39"/>
      <c r="B198" s="10" t="s">
        <v>312</v>
      </c>
      <c r="C198" s="43">
        <v>152.34229999999999</v>
      </c>
      <c r="D198" s="43">
        <v>157.22579999999999</v>
      </c>
      <c r="E198" s="39"/>
      <c r="F198" s="44"/>
      <c r="G198" s="45"/>
    </row>
    <row r="199" spans="1:10" ht="25.5" x14ac:dyDescent="0.2">
      <c r="A199" s="39"/>
      <c r="B199" s="10" t="s">
        <v>313</v>
      </c>
      <c r="C199" s="43">
        <v>27.2956</v>
      </c>
      <c r="D199" s="43">
        <v>27.916699999999999</v>
      </c>
      <c r="E199" s="39"/>
      <c r="F199" s="44"/>
      <c r="G199" s="45"/>
    </row>
    <row r="200" spans="1:10" x14ac:dyDescent="0.2">
      <c r="A200" s="39"/>
      <c r="B200" s="39"/>
      <c r="C200" s="39"/>
      <c r="D200" s="39"/>
      <c r="E200" s="39"/>
      <c r="F200" s="39"/>
      <c r="G200" s="39"/>
    </row>
    <row r="201" spans="1:10" x14ac:dyDescent="0.2">
      <c r="A201" s="39"/>
      <c r="B201" s="37" t="s">
        <v>314</v>
      </c>
      <c r="C201" s="38"/>
      <c r="D201" s="7" t="s">
        <v>13</v>
      </c>
      <c r="E201" s="39"/>
      <c r="F201" s="39"/>
      <c r="G201" s="39"/>
    </row>
    <row r="202" spans="1:10" x14ac:dyDescent="0.2">
      <c r="A202" s="39"/>
      <c r="B202" s="46" t="s">
        <v>309</v>
      </c>
      <c r="C202" s="47" t="s">
        <v>315</v>
      </c>
      <c r="D202" s="47" t="s">
        <v>316</v>
      </c>
      <c r="E202" s="39"/>
      <c r="F202" s="39"/>
      <c r="G202" s="39"/>
    </row>
    <row r="203" spans="1:10" ht="25.5" x14ac:dyDescent="0.2">
      <c r="A203" s="39"/>
      <c r="B203" s="10" t="s">
        <v>311</v>
      </c>
      <c r="C203" s="48">
        <v>0.35</v>
      </c>
      <c r="D203" s="48">
        <v>0.35</v>
      </c>
      <c r="E203" s="39"/>
      <c r="F203" s="44"/>
      <c r="G203" s="45"/>
    </row>
    <row r="204" spans="1:10" ht="25.5" x14ac:dyDescent="0.2">
      <c r="A204" s="39"/>
      <c r="B204" s="10" t="s">
        <v>313</v>
      </c>
      <c r="C204" s="48">
        <v>0.25</v>
      </c>
      <c r="D204" s="48">
        <v>0.25</v>
      </c>
      <c r="E204" s="39"/>
      <c r="F204" s="44"/>
      <c r="G204" s="45"/>
    </row>
    <row r="205" spans="1:10" x14ac:dyDescent="0.2">
      <c r="A205" s="39"/>
      <c r="B205" s="49"/>
      <c r="C205" s="49"/>
      <c r="D205" s="50"/>
      <c r="E205" s="39"/>
      <c r="F205" s="44"/>
      <c r="G205" s="45"/>
    </row>
    <row r="206" spans="1:10" ht="24.75" customHeight="1" x14ac:dyDescent="0.2">
      <c r="A206" s="39"/>
      <c r="B206" s="37" t="s">
        <v>317</v>
      </c>
      <c r="C206" s="38"/>
      <c r="D206" s="7" t="s">
        <v>318</v>
      </c>
      <c r="E206" s="51"/>
      <c r="F206" s="39"/>
      <c r="G206" s="39"/>
    </row>
    <row r="207" spans="1:10" ht="24" customHeight="1" x14ac:dyDescent="0.2">
      <c r="A207" s="39"/>
      <c r="B207" s="37" t="s">
        <v>319</v>
      </c>
      <c r="C207" s="38"/>
      <c r="D207" s="7" t="s">
        <v>318</v>
      </c>
      <c r="E207" s="51"/>
      <c r="F207" s="39"/>
      <c r="G207" s="39"/>
    </row>
    <row r="208" spans="1:10" x14ac:dyDescent="0.2">
      <c r="A208" s="39"/>
      <c r="B208" s="37" t="s">
        <v>320</v>
      </c>
      <c r="C208" s="38"/>
      <c r="D208" s="7" t="s">
        <v>318</v>
      </c>
      <c r="E208" s="51"/>
      <c r="F208" s="39"/>
      <c r="G208" s="39"/>
    </row>
    <row r="209" spans="1:16" x14ac:dyDescent="0.2">
      <c r="A209" s="39"/>
      <c r="B209" s="37" t="s">
        <v>321</v>
      </c>
      <c r="C209" s="38"/>
      <c r="D209" s="52">
        <v>1.1849139319511752</v>
      </c>
      <c r="E209" s="39"/>
      <c r="F209" s="44"/>
      <c r="G209" s="45"/>
    </row>
    <row r="211" spans="1:16" s="53" customFormat="1" x14ac:dyDescent="0.2">
      <c r="B211" s="54" t="s">
        <v>322</v>
      </c>
      <c r="C211" s="55"/>
      <c r="D211" s="55"/>
      <c r="E211" s="55"/>
      <c r="F211" s="55"/>
      <c r="G211" s="55"/>
      <c r="I211"/>
      <c r="J211"/>
      <c r="K211"/>
      <c r="L211"/>
      <c r="M211"/>
      <c r="N211"/>
      <c r="O211"/>
    </row>
    <row r="212" spans="1:16" ht="13.5" customHeight="1" x14ac:dyDescent="0.2">
      <c r="B212" s="56" t="s">
        <v>323</v>
      </c>
      <c r="C212" s="56" t="s">
        <v>324</v>
      </c>
      <c r="D212" s="57" t="s">
        <v>325</v>
      </c>
      <c r="E212" s="58"/>
      <c r="F212" s="59"/>
      <c r="G212" s="60" t="s">
        <v>326</v>
      </c>
      <c r="H212" s="61"/>
      <c r="I212" s="62"/>
      <c r="J212" s="63"/>
      <c r="K212" s="63"/>
      <c r="L212" s="63"/>
      <c r="M212" s="63"/>
      <c r="N212" s="63"/>
      <c r="O212" s="63"/>
    </row>
    <row r="213" spans="1:16" ht="46.5" customHeight="1" x14ac:dyDescent="0.2">
      <c r="B213" s="64"/>
      <c r="C213" s="64"/>
      <c r="D213" s="65" t="s">
        <v>327</v>
      </c>
      <c r="E213" s="65" t="s">
        <v>328</v>
      </c>
      <c r="F213" s="65" t="s">
        <v>329</v>
      </c>
      <c r="G213" s="66" t="s">
        <v>330</v>
      </c>
      <c r="H213" s="67"/>
      <c r="I213" s="65" t="s">
        <v>331</v>
      </c>
      <c r="J213" s="63"/>
      <c r="K213" s="63"/>
      <c r="L213" s="63"/>
      <c r="M213" s="63"/>
      <c r="N213" s="63"/>
      <c r="O213" s="63"/>
    </row>
    <row r="214" spans="1:16" ht="21" customHeight="1" x14ac:dyDescent="0.2">
      <c r="B214" s="68"/>
      <c r="C214" s="68"/>
      <c r="D214" s="69"/>
      <c r="E214" s="69"/>
      <c r="F214" s="69"/>
      <c r="G214" s="70" t="s">
        <v>332</v>
      </c>
      <c r="H214" s="70" t="s">
        <v>333</v>
      </c>
      <c r="I214" s="69"/>
      <c r="J214" s="63"/>
      <c r="K214" s="63"/>
      <c r="L214" s="63"/>
      <c r="M214" s="63"/>
      <c r="N214" s="63"/>
      <c r="O214" s="63"/>
    </row>
    <row r="215" spans="1:16" ht="13.5" x14ac:dyDescent="0.25">
      <c r="B215" s="71" t="s">
        <v>334</v>
      </c>
      <c r="C215" s="72" t="s">
        <v>335</v>
      </c>
      <c r="D215" s="73">
        <v>977.7</v>
      </c>
      <c r="E215" s="74">
        <v>22.3</v>
      </c>
      <c r="F215" s="75">
        <f>D215+E215</f>
        <v>1000</v>
      </c>
      <c r="G215" s="76">
        <v>42.319693431000005</v>
      </c>
      <c r="H215" s="76">
        <v>26.66</v>
      </c>
      <c r="I215" s="76">
        <f>G215+H215</f>
        <v>68.979693431000001</v>
      </c>
      <c r="J215" s="63"/>
      <c r="K215" s="63"/>
      <c r="L215" s="63"/>
      <c r="M215" s="63"/>
      <c r="N215" s="63"/>
      <c r="O215" s="63"/>
    </row>
    <row r="216" spans="1:16" ht="42" customHeight="1" x14ac:dyDescent="0.2">
      <c r="B216" s="77" t="s">
        <v>336</v>
      </c>
      <c r="C216" s="77"/>
      <c r="D216" s="77"/>
      <c r="E216" s="77"/>
      <c r="F216" s="77"/>
      <c r="G216" s="77"/>
      <c r="H216" s="77"/>
      <c r="I216" s="77"/>
      <c r="J216" s="78"/>
      <c r="K216" s="63"/>
      <c r="L216" s="63"/>
      <c r="M216" s="63"/>
      <c r="N216" s="63"/>
      <c r="O216" s="63"/>
    </row>
    <row r="217" spans="1:16" ht="13.5" x14ac:dyDescent="0.25">
      <c r="B217" s="79" t="s">
        <v>337</v>
      </c>
      <c r="I217" s="63"/>
      <c r="J217" s="5"/>
      <c r="K217" s="63"/>
      <c r="L217" s="63"/>
      <c r="M217" s="63"/>
      <c r="N217" s="63"/>
      <c r="O217" s="63"/>
      <c r="P217" s="63"/>
    </row>
    <row r="218" spans="1:16" x14ac:dyDescent="0.2">
      <c r="B218" s="80" t="s">
        <v>338</v>
      </c>
      <c r="J218" s="5"/>
      <c r="K218" s="63"/>
      <c r="L218" s="63"/>
      <c r="M218" s="63"/>
      <c r="N218" s="63"/>
      <c r="O218" s="63"/>
    </row>
    <row r="219" spans="1:16" s="53" customFormat="1" x14ac:dyDescent="0.2">
      <c r="B219" s="54"/>
      <c r="C219" s="55"/>
      <c r="D219" s="55"/>
      <c r="E219" s="55"/>
      <c r="F219" s="55"/>
      <c r="G219" s="55"/>
      <c r="I219"/>
      <c r="J219"/>
      <c r="K219"/>
      <c r="L219"/>
      <c r="M219"/>
      <c r="N219"/>
      <c r="O219"/>
    </row>
    <row r="220" spans="1:16" s="53" customFormat="1" x14ac:dyDescent="0.2">
      <c r="B220" s="81" t="s">
        <v>323</v>
      </c>
      <c r="C220" s="81" t="s">
        <v>324</v>
      </c>
      <c r="D220" s="82" t="s">
        <v>339</v>
      </c>
      <c r="E220" s="83"/>
      <c r="F220" s="84" t="s">
        <v>340</v>
      </c>
      <c r="G220" s="84"/>
      <c r="I220"/>
      <c r="J220"/>
      <c r="K220"/>
      <c r="L220"/>
      <c r="M220"/>
      <c r="N220"/>
      <c r="O220"/>
    </row>
    <row r="221" spans="1:16" s="53" customFormat="1" ht="25.5" x14ac:dyDescent="0.2">
      <c r="B221" s="85" t="s">
        <v>341</v>
      </c>
      <c r="C221" s="86" t="s">
        <v>342</v>
      </c>
      <c r="D221" s="87">
        <v>0</v>
      </c>
      <c r="E221" s="88"/>
      <c r="F221" s="87">
        <v>0</v>
      </c>
      <c r="G221" s="88"/>
      <c r="I221"/>
      <c r="J221"/>
      <c r="K221"/>
      <c r="L221"/>
      <c r="M221"/>
      <c r="N221"/>
      <c r="O221"/>
    </row>
    <row r="222" spans="1:16" s="53" customFormat="1" x14ac:dyDescent="0.2">
      <c r="B222" s="89" t="s">
        <v>343</v>
      </c>
      <c r="C222" s="90"/>
      <c r="D222" s="90"/>
      <c r="E222" s="90"/>
      <c r="F222" s="90"/>
      <c r="G222" s="91"/>
      <c r="I222"/>
      <c r="J222"/>
      <c r="K222"/>
      <c r="L222"/>
      <c r="M222"/>
      <c r="N222"/>
      <c r="O222"/>
    </row>
    <row r="223" spans="1:16" s="53" customFormat="1" x14ac:dyDescent="0.2">
      <c r="B223" s="84" t="s">
        <v>323</v>
      </c>
      <c r="C223" s="84" t="s">
        <v>324</v>
      </c>
      <c r="D223" s="89" t="s">
        <v>344</v>
      </c>
      <c r="E223" s="90"/>
      <c r="F223" s="91"/>
      <c r="G223" s="85"/>
      <c r="I223"/>
      <c r="J223"/>
      <c r="K223"/>
      <c r="L223"/>
      <c r="M223"/>
      <c r="N223"/>
      <c r="O223"/>
    </row>
    <row r="224" spans="1:16" s="53" customFormat="1" ht="51" x14ac:dyDescent="0.2">
      <c r="B224" s="84"/>
      <c r="C224" s="84"/>
      <c r="D224" s="92" t="s">
        <v>345</v>
      </c>
      <c r="E224" s="92" t="s">
        <v>346</v>
      </c>
      <c r="F224" s="92" t="s">
        <v>347</v>
      </c>
      <c r="G224" s="92" t="s">
        <v>348</v>
      </c>
      <c r="H224" s="93"/>
      <c r="I224"/>
      <c r="J224"/>
      <c r="K224"/>
      <c r="L224"/>
      <c r="M224"/>
      <c r="N224"/>
      <c r="O224"/>
    </row>
    <row r="225" spans="2:15" s="53" customFormat="1" ht="25.5" x14ac:dyDescent="0.2">
      <c r="B225" s="94" t="s">
        <v>341</v>
      </c>
      <c r="C225" s="86" t="s">
        <v>342</v>
      </c>
      <c r="D225" s="95">
        <v>700</v>
      </c>
      <c r="E225" s="95">
        <v>24.098357999999998</v>
      </c>
      <c r="F225" s="96">
        <v>724.09835799999996</v>
      </c>
      <c r="G225" s="97">
        <f>F225/F182</f>
        <v>1.2222401458769157E-3</v>
      </c>
      <c r="H225" s="98"/>
      <c r="I225"/>
      <c r="J225"/>
      <c r="K225"/>
      <c r="L225"/>
      <c r="M225"/>
      <c r="N225"/>
      <c r="O225"/>
    </row>
    <row r="226" spans="2:15" s="53" customFormat="1" ht="29.25" customHeight="1" x14ac:dyDescent="0.2">
      <c r="B226" s="99" t="s">
        <v>349</v>
      </c>
      <c r="C226" s="100"/>
      <c r="D226" s="100"/>
      <c r="E226" s="100"/>
      <c r="F226" s="100"/>
      <c r="G226" s="101"/>
      <c r="I226"/>
      <c r="J226"/>
      <c r="K226"/>
      <c r="L226"/>
      <c r="M226"/>
      <c r="N226"/>
      <c r="O226"/>
    </row>
    <row r="227" spans="2:15" s="53" customFormat="1" x14ac:dyDescent="0.2">
      <c r="I227"/>
      <c r="J227"/>
      <c r="K227"/>
      <c r="L227"/>
      <c r="M227"/>
      <c r="N227"/>
      <c r="O227"/>
    </row>
    <row r="228" spans="2:15" s="53" customFormat="1" x14ac:dyDescent="0.2">
      <c r="B228" s="102" t="s">
        <v>350</v>
      </c>
      <c r="C228" s="103"/>
      <c r="D228" s="104"/>
      <c r="I228"/>
      <c r="J228"/>
      <c r="K228"/>
      <c r="L228"/>
      <c r="M228"/>
      <c r="N228"/>
      <c r="O228"/>
    </row>
    <row r="229" spans="2:15" s="53" customFormat="1" ht="38.25" x14ac:dyDescent="0.2">
      <c r="B229" s="105" t="s">
        <v>351</v>
      </c>
      <c r="C229" s="105"/>
      <c r="D229" s="106" t="s">
        <v>2</v>
      </c>
      <c r="I229"/>
      <c r="J229"/>
      <c r="K229"/>
      <c r="L229"/>
      <c r="M229"/>
      <c r="N229"/>
      <c r="O229"/>
    </row>
    <row r="230" spans="2:15" s="53" customFormat="1" x14ac:dyDescent="0.2">
      <c r="B230" s="105" t="s">
        <v>352</v>
      </c>
      <c r="C230" s="105"/>
      <c r="D230" s="106"/>
      <c r="I230"/>
      <c r="J230"/>
      <c r="K230"/>
      <c r="L230"/>
      <c r="M230"/>
      <c r="N230"/>
      <c r="O230"/>
    </row>
    <row r="231" spans="2:15" s="53" customFormat="1" x14ac:dyDescent="0.2">
      <c r="B231" s="107"/>
      <c r="C231" s="108"/>
      <c r="D231" s="109"/>
      <c r="I231"/>
      <c r="J231"/>
      <c r="K231"/>
      <c r="L231"/>
      <c r="M231"/>
      <c r="N231"/>
      <c r="O231"/>
    </row>
    <row r="232" spans="2:15" s="53" customFormat="1" x14ac:dyDescent="0.2">
      <c r="B232" s="105" t="s">
        <v>353</v>
      </c>
      <c r="C232" s="105"/>
      <c r="D232" s="110">
        <v>6.263053503023742</v>
      </c>
      <c r="I232"/>
      <c r="J232"/>
      <c r="K232"/>
      <c r="L232"/>
      <c r="M232"/>
      <c r="N232"/>
      <c r="O232"/>
    </row>
    <row r="233" spans="2:15" s="53" customFormat="1" x14ac:dyDescent="0.2">
      <c r="B233" s="107"/>
      <c r="C233" s="108"/>
      <c r="D233" s="111"/>
      <c r="I233"/>
      <c r="J233"/>
      <c r="K233"/>
      <c r="L233"/>
      <c r="M233"/>
      <c r="N233"/>
      <c r="O233"/>
    </row>
    <row r="234" spans="2:15" s="53" customFormat="1" x14ac:dyDescent="0.2">
      <c r="B234" s="105" t="s">
        <v>354</v>
      </c>
      <c r="C234" s="105"/>
      <c r="D234" s="110">
        <v>3.9999637451214216</v>
      </c>
      <c r="I234"/>
      <c r="J234"/>
      <c r="K234"/>
      <c r="L234"/>
      <c r="M234"/>
      <c r="N234"/>
      <c r="O234"/>
    </row>
    <row r="235" spans="2:15" s="53" customFormat="1" x14ac:dyDescent="0.2">
      <c r="B235" s="105" t="s">
        <v>355</v>
      </c>
      <c r="C235" s="105"/>
      <c r="D235" s="110">
        <v>5.9174723021924258</v>
      </c>
      <c r="I235"/>
      <c r="J235"/>
      <c r="K235"/>
      <c r="L235"/>
      <c r="M235"/>
      <c r="N235"/>
      <c r="O235"/>
    </row>
    <row r="236" spans="2:15" s="53" customFormat="1" x14ac:dyDescent="0.2">
      <c r="B236" s="107"/>
      <c r="C236" s="108"/>
      <c r="D236" s="109"/>
      <c r="I236"/>
      <c r="J236"/>
      <c r="K236"/>
      <c r="L236"/>
      <c r="M236"/>
      <c r="N236"/>
      <c r="O236"/>
    </row>
    <row r="237" spans="2:15" s="53" customFormat="1" x14ac:dyDescent="0.2">
      <c r="B237" s="105" t="s">
        <v>356</v>
      </c>
      <c r="C237" s="105"/>
      <c r="D237" s="112" t="s">
        <v>357</v>
      </c>
      <c r="I237"/>
      <c r="J237"/>
      <c r="K237"/>
      <c r="L237"/>
      <c r="M237"/>
      <c r="N237"/>
      <c r="O237"/>
    </row>
    <row r="238" spans="2:15" s="53" customFormat="1" x14ac:dyDescent="0.2">
      <c r="B238" s="107" t="s">
        <v>358</v>
      </c>
      <c r="C238" s="113"/>
      <c r="D238" s="108"/>
      <c r="I238"/>
      <c r="J238"/>
      <c r="K238"/>
      <c r="L238"/>
      <c r="M238"/>
      <c r="N238"/>
      <c r="O238"/>
    </row>
    <row r="240" spans="2:15" x14ac:dyDescent="0.2">
      <c r="B240" s="114" t="s">
        <v>359</v>
      </c>
      <c r="C240" s="114"/>
    </row>
    <row r="242" spans="2:4" ht="153.75" customHeight="1" x14ac:dyDescent="0.2"/>
    <row r="245" spans="2:4" x14ac:dyDescent="0.2">
      <c r="B245" s="115" t="s">
        <v>360</v>
      </c>
      <c r="C245" s="116"/>
      <c r="D245" s="115"/>
    </row>
    <row r="246" spans="2:4" x14ac:dyDescent="0.2">
      <c r="B246" s="115" t="s">
        <v>361</v>
      </c>
      <c r="D246" s="115"/>
    </row>
    <row r="247" spans="2:4" ht="165" customHeight="1" x14ac:dyDescent="0.2"/>
  </sheetData>
  <mergeCells count="48">
    <mergeCell ref="B236:C236"/>
    <mergeCell ref="B237:C237"/>
    <mergeCell ref="B238:D238"/>
    <mergeCell ref="B240:C240"/>
    <mergeCell ref="B230:C230"/>
    <mergeCell ref="B231:C231"/>
    <mergeCell ref="B232:C232"/>
    <mergeCell ref="B233:C233"/>
    <mergeCell ref="B234:C234"/>
    <mergeCell ref="B235:C235"/>
    <mergeCell ref="B223:B224"/>
    <mergeCell ref="C223:C224"/>
    <mergeCell ref="D223:F223"/>
    <mergeCell ref="B226:G226"/>
    <mergeCell ref="B228:D228"/>
    <mergeCell ref="B229:C229"/>
    <mergeCell ref="B216:I216"/>
    <mergeCell ref="D220:E220"/>
    <mergeCell ref="F220:G220"/>
    <mergeCell ref="D221:E221"/>
    <mergeCell ref="F221:G221"/>
    <mergeCell ref="B222:G222"/>
    <mergeCell ref="D212:F212"/>
    <mergeCell ref="G212:I212"/>
    <mergeCell ref="D213:D214"/>
    <mergeCell ref="E213:E214"/>
    <mergeCell ref="F213:F214"/>
    <mergeCell ref="G213:H213"/>
    <mergeCell ref="I213:I214"/>
    <mergeCell ref="B201:C201"/>
    <mergeCell ref="B206:C206"/>
    <mergeCell ref="B207:C207"/>
    <mergeCell ref="B208:C208"/>
    <mergeCell ref="B209:C209"/>
    <mergeCell ref="B212:B214"/>
    <mergeCell ref="C212:C214"/>
    <mergeCell ref="B187:H187"/>
    <mergeCell ref="B188:H188"/>
    <mergeCell ref="B190:D190"/>
    <mergeCell ref="B191:C191"/>
    <mergeCell ref="B192:C192"/>
    <mergeCell ref="B193:C193"/>
    <mergeCell ref="A1:H1"/>
    <mergeCell ref="A2:H2"/>
    <mergeCell ref="A3:H3"/>
    <mergeCell ref="B184:H184"/>
    <mergeCell ref="B185:H185"/>
    <mergeCell ref="B186:H186"/>
  </mergeCells>
  <hyperlinks>
    <hyperlink ref="I1" location="Index!B2" display="Index" xr:uid="{485D1DB7-6DCA-4CE7-AA53-72AF9B1B766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SPAHF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2025-05-08T12:11:34Z</dcterms:created>
  <dcterms:modified xsi:type="dcterms:W3CDTF">2025-05-08T12:11:35Z</dcterms:modified>
</cp:coreProperties>
</file>