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132.201.0.2\fasundaram\DEBT_BACKOFFICE\Debt_Factsheets\2025 - Monthly Portfolio\4. 30042025\"/>
    </mc:Choice>
  </mc:AlternateContent>
  <xr:revisionPtr revIDLastSave="0" documentId="8_{5369093E-75D1-4734-B65F-D99994B43EDA}" xr6:coauthVersionLast="47" xr6:coauthVersionMax="47" xr10:uidLastSave="{00000000-0000-0000-0000-000000000000}"/>
  <bookViews>
    <workbookView xWindow="-120" yWindow="-120" windowWidth="19440" windowHeight="15000" xr2:uid="{9215609A-A2D0-41BC-895F-5F3585B7A5DD}"/>
  </bookViews>
  <sheets>
    <sheet name="SPAR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3" i="1" l="1"/>
  <c r="F183" i="1"/>
  <c r="F152" i="1"/>
  <c r="G152" i="1" s="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46" i="1"/>
  <c r="G101" i="1" s="1"/>
  <c r="F46" i="1"/>
  <c r="F101" i="1" s="1"/>
</calcChain>
</file>

<file path=xl/sharedStrings.xml><?xml version="1.0" encoding="utf-8"?>
<sst xmlns="http://schemas.openxmlformats.org/spreadsheetml/2006/main" count="499" uniqueCount="250">
  <si>
    <t>SUNDARAM MUTUAL FUND</t>
  </si>
  <si>
    <t>Index</t>
  </si>
  <si>
    <t>Sundaram Arbitrage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</si>
  <si>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</si>
  <si>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</si>
  <si>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</si>
  <si>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</si>
  <si>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</si>
  <si>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</si>
  <si>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</si>
  <si>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</si>
  <si>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</si>
  <si>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</si>
  <si>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</si>
  <si>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</si>
  <si>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INE002A01018</t>
  </si>
  <si>
    <t>Reliance Industries Ltd</t>
  </si>
  <si>
    <t>Petroleum Products</t>
  </si>
  <si>
    <t>INE090A01021</t>
  </si>
  <si>
    <t>ICICI Bank Ltd</t>
  </si>
  <si>
    <t>Banks</t>
  </si>
  <si>
    <t>INE238A01034</t>
  </si>
  <si>
    <t>Axis Bank Ltd</t>
  </si>
  <si>
    <t>INE121J01017</t>
  </si>
  <si>
    <t>Indus Towers Ltd (Prev Bharti Infratel Ltd)</t>
  </si>
  <si>
    <t>Telecom - Services</t>
  </si>
  <si>
    <t>INE154A01025</t>
  </si>
  <si>
    <t>ITC Ltd</t>
  </si>
  <si>
    <t>Diversified Fmcg</t>
  </si>
  <si>
    <t>INE079A01024</t>
  </si>
  <si>
    <t>Ambuja Cements Ltd</t>
  </si>
  <si>
    <t>Cement &amp; Cement Products</t>
  </si>
  <si>
    <t>INE467B01029</t>
  </si>
  <si>
    <t>Tata Consultancy Services Ltd</t>
  </si>
  <si>
    <t>It - Software</t>
  </si>
  <si>
    <t>INE296A01024</t>
  </si>
  <si>
    <t>Bajaj Finance Ltd</t>
  </si>
  <si>
    <t>Finance</t>
  </si>
  <si>
    <t>INE423A01024</t>
  </si>
  <si>
    <t>Adani Enterprises</t>
  </si>
  <si>
    <t>Metals &amp; Minerals Trading</t>
  </si>
  <si>
    <t>INE018A01030</t>
  </si>
  <si>
    <t>Larsen &amp; Toubro Ltd</t>
  </si>
  <si>
    <t>Construction</t>
  </si>
  <si>
    <t>INE044A01036</t>
  </si>
  <si>
    <t>Sun Pharmaceutical Industries Ltd</t>
  </si>
  <si>
    <t>Pharmaceuticals &amp; Biotechnology</t>
  </si>
  <si>
    <t>INE271C01023</t>
  </si>
  <si>
    <t>DLF Ltd</t>
  </si>
  <si>
    <t>Realty</t>
  </si>
  <si>
    <t>INE038A01020</t>
  </si>
  <si>
    <t>Hindalco Industries Ltd</t>
  </si>
  <si>
    <t>Non - Ferrous Metals</t>
  </si>
  <si>
    <t>INE009A01021</t>
  </si>
  <si>
    <t>Infosys Ltd</t>
  </si>
  <si>
    <t>INE053A01029</t>
  </si>
  <si>
    <t>The Indian Hotels Company Ltd</t>
  </si>
  <si>
    <t>Leisure Services</t>
  </si>
  <si>
    <t>INE280A01028</t>
  </si>
  <si>
    <t>Titan Company Ltd</t>
  </si>
  <si>
    <t>Consumer Durables</t>
  </si>
  <si>
    <t>INE397D01024</t>
  </si>
  <si>
    <t>Bharti Airtel Ltd</t>
  </si>
  <si>
    <t>INE028A01039</t>
  </si>
  <si>
    <t>Bank of Baroda</t>
  </si>
  <si>
    <t>INE548A01028</t>
  </si>
  <si>
    <t>HFCL Limited</t>
  </si>
  <si>
    <t>INE155A01022</t>
  </si>
  <si>
    <t>Tata Motors Ltd</t>
  </si>
  <si>
    <t>Automobiles</t>
  </si>
  <si>
    <t>INE237A01028</t>
  </si>
  <si>
    <t>Kotak Mahindra Bank Ltd</t>
  </si>
  <si>
    <t>INE245A01021</t>
  </si>
  <si>
    <t>TATA Power Company Ltd</t>
  </si>
  <si>
    <t>Power</t>
  </si>
  <si>
    <t>INE059A01026</t>
  </si>
  <si>
    <t>Cipla Ltd</t>
  </si>
  <si>
    <t>INE123W01016</t>
  </si>
  <si>
    <t>SBI Life Insurance Company Ltd</t>
  </si>
  <si>
    <t>Insurance</t>
  </si>
  <si>
    <t>INE160A01022</t>
  </si>
  <si>
    <t>Punjab National Bank</t>
  </si>
  <si>
    <t>INE674K01013</t>
  </si>
  <si>
    <t>Aditya Birla Capital Ltd</t>
  </si>
  <si>
    <t>INE081A01020</t>
  </si>
  <si>
    <t>Tata Steel Ltd</t>
  </si>
  <si>
    <t>Ferrous Metals</t>
  </si>
  <si>
    <t>INE476A01022</t>
  </si>
  <si>
    <t>Canara Bank</t>
  </si>
  <si>
    <t>INE406A01037</t>
  </si>
  <si>
    <t>Aurobindo Pharma Ltd</t>
  </si>
  <si>
    <t>INE040A01034</t>
  </si>
  <si>
    <t>HDFC Bank Ltd</t>
  </si>
  <si>
    <t>INE647O01011</t>
  </si>
  <si>
    <t>Aditya Birla Fashion and Retail Ltd</t>
  </si>
  <si>
    <t>Retailing</t>
  </si>
  <si>
    <t>INE101A01026</t>
  </si>
  <si>
    <t>Mahindra &amp; Mahindra Ltd</t>
  </si>
  <si>
    <t>INE918I01026</t>
  </si>
  <si>
    <t>Bajaj Finserv Ltd</t>
  </si>
  <si>
    <t>INE522F01014</t>
  </si>
  <si>
    <t>Coal India Ltd</t>
  </si>
  <si>
    <t>Consumable Fuels</t>
  </si>
  <si>
    <t>INE733E01010</t>
  </si>
  <si>
    <t>NTPC LTD</t>
  </si>
  <si>
    <t>INE242A01010</t>
  </si>
  <si>
    <t>Indian Oil Corporation Ltd</t>
  </si>
  <si>
    <t>INE878B01027</t>
  </si>
  <si>
    <t>KEI Industries Ltd</t>
  </si>
  <si>
    <t>Industrial Products</t>
  </si>
  <si>
    <t>INE769A01020</t>
  </si>
  <si>
    <t>Aarti Industries Ltd</t>
  </si>
  <si>
    <t>Chemicals &amp; Petrochemicals</t>
  </si>
  <si>
    <t>INE0JEI23010</t>
  </si>
  <si>
    <t>Roadstar Infra Investment Trust (InvIT)</t>
  </si>
  <si>
    <t>Services</t>
  </si>
  <si>
    <t>#</t>
  </si>
  <si>
    <t>Sub Total</t>
  </si>
  <si>
    <t>(b) Overseas Security</t>
  </si>
  <si>
    <t xml:space="preserve">0 </t>
  </si>
  <si>
    <t>(c) Privately Placed / Unlisted</t>
  </si>
  <si>
    <t>(d) Preference / Right Shares</t>
  </si>
  <si>
    <t>(e) Warrants</t>
  </si>
  <si>
    <t>f) Derivative</t>
  </si>
  <si>
    <t>Aarti Industries Limited May 2025</t>
  </si>
  <si>
    <t>Stock Future</t>
  </si>
  <si>
    <t>KEI Industries Ltd May 2025</t>
  </si>
  <si>
    <t>Indian Oil Corporation Ltd May 2025</t>
  </si>
  <si>
    <t>NTPC Limited May 2025</t>
  </si>
  <si>
    <t>Coal India Limited May 2025</t>
  </si>
  <si>
    <t>Bajaj Finserv Limited May 2025</t>
  </si>
  <si>
    <t xml:space="preserve">	Mahindra &amp; Mahindra Limited May 2025</t>
  </si>
  <si>
    <t>Aditya Birla Fashion And Retail Limited May 2025</t>
  </si>
  <si>
    <t>HDFC Bank Limited May 2025</t>
  </si>
  <si>
    <t>Aurobindo Pharma Limited May 2025</t>
  </si>
  <si>
    <t>Canara Bank May 2025</t>
  </si>
  <si>
    <t xml:space="preserve">	Tata Steel Limited May 2025</t>
  </si>
  <si>
    <t>Aditya Birla Capital Limited May 2025</t>
  </si>
  <si>
    <t>Punjab National Bank May 2025</t>
  </si>
  <si>
    <t>SBI Life Insurance Company Limited May 2025</t>
  </si>
  <si>
    <t>Cipla Limited May 2025</t>
  </si>
  <si>
    <t>Tata Power Company Ltd May 2025</t>
  </si>
  <si>
    <t>Kotak Mahindra Bank Limited May 2025</t>
  </si>
  <si>
    <t>Tata Motors Limited May 2025</t>
  </si>
  <si>
    <t>HFCL Ltd May 2025</t>
  </si>
  <si>
    <t>Bank of Baroda May 2025</t>
  </si>
  <si>
    <t>Bharti Airtel Limited May 2025</t>
  </si>
  <si>
    <t>Titan Company Limited May 2025</t>
  </si>
  <si>
    <t>The Indian Hotels Company Limited May 2025</t>
  </si>
  <si>
    <t>Infosys Limited May 2025</t>
  </si>
  <si>
    <t>Hindalco Industries Limited May 2025</t>
  </si>
  <si>
    <t>DLF Limited May 2025</t>
  </si>
  <si>
    <t>Sun Pharmaceutical Industries Limited May 2025</t>
  </si>
  <si>
    <t>Larsen and Toubro Ltd May 2025</t>
  </si>
  <si>
    <t>Adani Enterprises Limited May 2025</t>
  </si>
  <si>
    <t>Bajaj Finance Limited May 2025</t>
  </si>
  <si>
    <t>TATA Consultancy Services Limited May 2025</t>
  </si>
  <si>
    <t>Ambuja Cements Limited May 2025</t>
  </si>
  <si>
    <t>ITC Limited May 2025</t>
  </si>
  <si>
    <t>Indus Towers Limited May 2025</t>
  </si>
  <si>
    <t>Axis Bank Limited May 2025</t>
  </si>
  <si>
    <t>ICICI Bank Limited May 2025</t>
  </si>
  <si>
    <t>Reliance Industries Limited May 2025</t>
  </si>
  <si>
    <t>Total for Equity &amp; Equity Related</t>
  </si>
  <si>
    <t>B) Debt Instruments</t>
  </si>
  <si>
    <t>(b) Privately Placed / Unlisted</t>
  </si>
  <si>
    <t>(c) Govt Security</t>
  </si>
  <si>
    <t>IN0020220037</t>
  </si>
  <si>
    <t>7.38% Central Government Securities 20/06/2027*</t>
  </si>
  <si>
    <t>Sovereign</t>
  </si>
  <si>
    <t>(d) Securitized Debt Instruments</t>
  </si>
  <si>
    <t>Total for Debt Instruments</t>
  </si>
  <si>
    <t>C) Money Market Instruments</t>
  </si>
  <si>
    <t>(a) Certificate of Deposits</t>
  </si>
  <si>
    <t>(b) Commercial Papers</t>
  </si>
  <si>
    <t>(c) Treasury Bills</t>
  </si>
  <si>
    <t>IN002024Z347</t>
  </si>
  <si>
    <t>364 Days - T Bill - 04/12/2025*</t>
  </si>
  <si>
    <t>IN002024Z248</t>
  </si>
  <si>
    <t>364 Days - T Bill - 11/09/2025*</t>
  </si>
  <si>
    <t>IN002024Z412</t>
  </si>
  <si>
    <t>364 Days - T Bill - 22/01/2026*</t>
  </si>
  <si>
    <t>(d) ReverseRepo / TREPS</t>
  </si>
  <si>
    <t>TREPS</t>
  </si>
  <si>
    <t>Total for Money Market Instruments</t>
  </si>
  <si>
    <t>D) Mutual Fund Units</t>
  </si>
  <si>
    <t>(a) Investment in Mutual Fund Units</t>
  </si>
  <si>
    <t>INF903JA1FR6</t>
  </si>
  <si>
    <t>Sundaram Money Market Fund-Direct Plan - Growth*</t>
  </si>
  <si>
    <t>INF173K01GU0</t>
  </si>
  <si>
    <t>Sundaram Liquid Fund - Direct Growth*</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</si>
  <si>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</si>
  <si>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</si>
  <si>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</si>
  <si>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</si>
  <si>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</si>
  <si>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</si>
  <si>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</si>
  <si>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</si>
  <si>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</si>
  <si>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</si>
  <si>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</si>
  <si>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</si>
  <si>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</si>
  <si>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Refer below point i)</t>
  </si>
  <si>
    <t>b) Total value and percentage of illiquid equity / Preference shares @</t>
  </si>
  <si>
    <t>Nil</t>
  </si>
  <si>
    <t>c) NAV  per  unit (Rupees per unit)</t>
  </si>
  <si>
    <t>At the beginning</t>
  </si>
  <si>
    <t>At the end</t>
  </si>
  <si>
    <t>Option</t>
  </si>
  <si>
    <t>Direct Plan - Growth</t>
  </si>
  <si>
    <t>Direct Plan - Monthly IDCW</t>
  </si>
  <si>
    <t>Regular Plan - Growth</t>
  </si>
  <si>
    <t>Regular Plan - Monthly IDCW</t>
  </si>
  <si>
    <t>d) IDCW declared during the period (Rupees per unit)</t>
  </si>
  <si>
    <t>e) Total outstanding exposure in derivative instruments at the end of the period</t>
  </si>
  <si>
    <t>Annexure-A</t>
  </si>
  <si>
    <t>f) Total investments in foreign securities /ADR'S/GDR'S at the end of the period</t>
  </si>
  <si>
    <t>g) Repo in corporate debt</t>
  </si>
  <si>
    <t>h) Portfolio Turnover Ratio</t>
  </si>
  <si>
    <t>i) Exposure to securities classified as below investment grade or default as on 30-Apr-2025</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</si>
  <si>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</si>
  <si>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</si>
  <si>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</si>
  <si>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</si>
  <si>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</si>
  <si>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</si>
  <si>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</si>
  <si>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</si>
  <si>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</si>
  <si>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</si>
  <si>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</si>
  <si>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</si>
  <si>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</si>
  <si>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</si>
  <si>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</si>
  <si>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</si>
  <si>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</si>
  <si>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</si>
  <si>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</si>
  <si>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</si>
  <si>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</si>
  <si>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</si>
  <si>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</si>
  <si>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30-Apr-2025</t>
  </si>
  <si>
    <t>*** in case of semi annual YTM,  it will be annualised </t>
  </si>
  <si>
    <t>Scheme Riskometer :</t>
  </si>
  <si>
    <t>Tier I Benchmark Riskometer :</t>
  </si>
  <si>
    <t xml:space="preserve">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</si>
</sst>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1014009]###0.00;\(###0.00\)"/>
    <numFmt numFmtId="165" formatCode="[$-1014009]General"/>
    <numFmt numFmtId="166" formatCode="[$-1014009]###0;\(###0\)"/>
    <numFmt numFmtId="167" formatCode="[$-1014009]###0.00%;\(###0.00%\)"/>
    <numFmt numFmtId="168" formatCode="[$-1014009]###0.0000;\(###0.0000\)"/>
    <numFmt numFmtId="169" formatCode="[$-1014009]#,##0.00\ %;\(#,##0.00\)"/>
    <numFmt numFmtId="170" formatCode="[$-1014009]#.0000"/>
    <numFmt numFmtId="171" formatCode="[$-1014009]#,##0.00%"/>
    <numFmt numFmtId="172" formatCode="_(* #,##0_);_(* \(#,##0\);_(* &quot;-&quot;??_);_(@_)"/>
    <numFmt numFmtId="173" formatCode="_(* #,##0.00_);_(* \(#,##0.00\);_(* &quot;-&quot;??_);_(@_)"/>
    <numFmt numFmtId="174" formatCode="[$-1014009]#,##0.00;\(#,##0.00\)"/>
  </numFmts>
  <fonts count="21" x14ac:knownFonts="1">
    <font>
      <sz val="10"/>
      <name val="Arial"/>
      <charset val="1"/>
    </font>
    <font>
      <sz val="10"/>
      <name val="Arial"/>
      <charset val="1"/>
    </font>
    <font>
      <b/>
      <sz val="11"/>
      <color indexed="8"/>
      <name val="Calibri"/>
      <family val="2"/>
    </font>
    <font>
      <u/>
      <sz val="10"/>
      <color theme="10"/>
      <name val="Arial"/>
      <family val="2"/>
    </font>
    <font>
      <u/>
      <sz val="11"/>
      <color rgb="FF002060"/>
      <name val="Aptos Narrow"/>
      <family val="2"/>
      <scheme val="minor"/>
    </font>
    <font>
      <sz val="10"/>
      <color indexed="8"/>
      <name val="Calibri"/>
      <charset val="1"/>
    </font>
    <font>
      <b/>
      <sz val="10"/>
      <color indexed="8"/>
      <name val="Calibri"/>
      <charset val="1"/>
    </font>
    <font>
      <sz val="10"/>
      <color indexed="8"/>
      <name val="Calibri"/>
      <family val="2"/>
    </font>
    <font>
      <sz val="10"/>
      <name val="Calibri"/>
      <family val="2"/>
    </font>
    <font>
      <b/>
      <i/>
      <sz val="10"/>
      <color indexed="8"/>
      <name val="Calibri"/>
      <charset val="1"/>
    </font>
    <font>
      <b/>
      <i/>
      <sz val="10"/>
      <color indexed="8"/>
      <name val="Calibri"/>
      <family val="2"/>
    </font>
    <font>
      <b/>
      <sz val="10"/>
      <name val="Arial"/>
      <family val="2"/>
    </font>
    <font>
      <sz val="11"/>
      <color theme="1"/>
      <name val="Aptos Narrow"/>
      <family val="2"/>
      <scheme val="minor"/>
    </font>
    <font>
      <sz val="10"/>
      <name val="Arial"/>
      <family val="2"/>
    </font>
    <font>
      <b/>
      <sz val="10"/>
      <color indexed="8"/>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name val="Calibri"/>
      <family val="2"/>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alignment wrapText="1"/>
    </xf>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alignment wrapText="1"/>
    </xf>
    <xf numFmtId="0" fontId="12" fillId="0" borderId="0"/>
    <xf numFmtId="0" fontId="13" fillId="0" borderId="0">
      <alignment wrapText="1"/>
    </xf>
    <xf numFmtId="0" fontId="12" fillId="0" borderId="0"/>
    <xf numFmtId="0" fontId="13" fillId="0" borderId="0">
      <alignment wrapText="1"/>
    </xf>
    <xf numFmtId="43" fontId="12" fillId="0" borderId="0" applyFont="0" applyFill="0" applyBorder="0" applyAlignment="0" applyProtection="0"/>
    <xf numFmtId="9" fontId="18" fillId="0" borderId="0" applyFont="0" applyFill="0" applyBorder="0" applyAlignment="0" applyProtection="0"/>
  </cellStyleXfs>
  <cellXfs count="112">
    <xf numFmtId="0" fontId="0" fillId="0" borderId="0" xfId="0">
      <alignment wrapText="1"/>
    </xf>
    <xf numFmtId="0" fontId="2" fillId="0" borderId="1" xfId="0" applyFont="1" applyBorder="1" applyAlignment="1">
      <alignment horizontal="center" vertical="center" wrapText="1" readingOrder="1"/>
    </xf>
    <xf numFmtId="0" fontId="4" fillId="0" borderId="0" xfId="3"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7"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166" fontId="7" fillId="0" borderId="4" xfId="0" applyNumberFormat="1" applyFont="1" applyBorder="1" applyAlignment="1">
      <alignment horizontal="right" vertical="center" wrapText="1" readingOrder="1"/>
    </xf>
    <xf numFmtId="164" fontId="7" fillId="0" borderId="4" xfId="0" applyNumberFormat="1" applyFont="1" applyBorder="1" applyAlignment="1">
      <alignment horizontal="right" vertical="center" wrapText="1" readingOrder="1"/>
    </xf>
    <xf numFmtId="167" fontId="8" fillId="0" borderId="4" xfId="0" applyNumberFormat="1" applyFont="1" applyBorder="1" applyAlignment="1">
      <alignment horizontal="right" vertical="center" wrapText="1" readingOrder="1"/>
    </xf>
    <xf numFmtId="10" fontId="0" fillId="0" borderId="0" xfId="2" applyNumberFormat="1" applyFont="1" applyFill="1" applyAlignment="1">
      <alignment wrapText="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9" fillId="0" borderId="5" xfId="0" applyFont="1" applyBorder="1" applyAlignment="1">
      <alignment horizontal="left" vertical="center" wrapText="1" readingOrder="1"/>
    </xf>
    <xf numFmtId="0" fontId="9" fillId="0" borderId="5" xfId="0" applyFont="1" applyBorder="1" applyAlignment="1">
      <alignment horizontal="right" vertical="center" wrapText="1" readingOrder="1"/>
    </xf>
    <xf numFmtId="0" fontId="10" fillId="0" borderId="0" xfId="0" applyFont="1" applyAlignment="1">
      <alignment horizontal="left" vertical="center" wrapText="1" readingOrder="1"/>
    </xf>
    <xf numFmtId="0" fontId="7" fillId="0" borderId="0" xfId="0" applyFont="1" applyAlignment="1">
      <alignment horizontal="left" vertical="center" wrapText="1" readingOrder="1"/>
    </xf>
    <xf numFmtId="0" fontId="11" fillId="0" borderId="0" xfId="0" applyFont="1" applyAlignment="1">
      <alignment horizontal="center" vertical="center" wrapText="1"/>
    </xf>
    <xf numFmtId="0" fontId="10" fillId="0" borderId="0" xfId="4" applyFont="1" applyAlignment="1">
      <alignment horizontal="left" vertical="center" wrapText="1" readingOrder="1"/>
    </xf>
    <xf numFmtId="0" fontId="7" fillId="0" borderId="0" xfId="0" applyFont="1" applyAlignment="1">
      <alignment horizontal="justify" vertical="top" wrapText="1" readingOrder="1"/>
    </xf>
    <xf numFmtId="0" fontId="12" fillId="0" borderId="0" xfId="4" applyAlignment="1">
      <alignment wrapText="1"/>
    </xf>
    <xf numFmtId="0" fontId="9" fillId="0" borderId="0" xfId="0" applyFont="1" applyAlignment="1">
      <alignment horizontal="left" vertical="center" wrapText="1" readingOrder="1"/>
    </xf>
    <xf numFmtId="0" fontId="9"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9"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14" fillId="0" borderId="4" xfId="5" applyFont="1" applyBorder="1" applyAlignment="1">
      <alignment horizontal="left" vertical="center" wrapText="1" readingOrder="1"/>
    </xf>
    <xf numFmtId="0" fontId="7" fillId="0" borderId="6" xfId="0" applyFont="1" applyBorder="1" applyAlignment="1">
      <alignment horizontal="left" vertical="center" wrapText="1" readingOrder="1"/>
    </xf>
    <xf numFmtId="0" fontId="7" fillId="0" borderId="8" xfId="0" applyFont="1" applyBorder="1" applyAlignment="1">
      <alignment horizontal="left" vertical="center" wrapText="1" readingOrder="1"/>
    </xf>
    <xf numFmtId="0" fontId="14" fillId="0" borderId="4" xfId="0" applyFont="1" applyBorder="1" applyAlignment="1">
      <alignment horizontal="left" vertical="center" wrapText="1" readingOrder="1"/>
    </xf>
    <xf numFmtId="0" fontId="10" fillId="0" borderId="9" xfId="0" applyFont="1" applyBorder="1" applyAlignment="1">
      <alignment horizontal="right" vertical="center" wrapText="1" readingOrder="1"/>
    </xf>
    <xf numFmtId="0" fontId="10" fillId="0" borderId="0" xfId="0" applyFont="1" applyAlignment="1">
      <alignment horizontal="right" vertical="center" wrapText="1" readingOrder="1"/>
    </xf>
    <xf numFmtId="0" fontId="7"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4" xfId="0" applyFont="1" applyBorder="1" applyAlignment="1">
      <alignment horizontal="center" vertical="top" wrapText="1" readingOrder="1"/>
    </xf>
    <xf numFmtId="15" fontId="14" fillId="0" borderId="4" xfId="0" applyNumberFormat="1" applyFont="1" applyBorder="1" applyAlignment="1">
      <alignment horizontal="right" vertical="top" wrapText="1" readingOrder="1"/>
    </xf>
    <xf numFmtId="0" fontId="5" fillId="0" borderId="0" xfId="0" applyFont="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7" fillId="0" borderId="9" xfId="0" applyFont="1" applyBorder="1" applyAlignment="1">
      <alignment horizontal="right" vertical="top" wrapText="1" readingOrder="1"/>
    </xf>
    <xf numFmtId="0" fontId="0" fillId="0" borderId="0" xfId="0" applyAlignment="1">
      <alignment vertical="center" wrapText="1"/>
    </xf>
    <xf numFmtId="171" fontId="14" fillId="0" borderId="4" xfId="0" applyNumberFormat="1" applyFont="1" applyBorder="1" applyAlignment="1">
      <alignment horizontal="lef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8" fillId="0" borderId="0" xfId="0" applyFont="1">
      <alignment wrapText="1"/>
    </xf>
    <xf numFmtId="0" fontId="15" fillId="0" borderId="0" xfId="0" applyFont="1" applyAlignment="1"/>
    <xf numFmtId="172" fontId="15" fillId="0" borderId="0" xfId="1" applyNumberFormat="1" applyFont="1" applyFill="1"/>
    <xf numFmtId="43" fontId="15" fillId="0" borderId="0" xfId="1" applyFont="1" applyFill="1"/>
    <xf numFmtId="0" fontId="16" fillId="0" borderId="10" xfId="6" applyFont="1" applyBorder="1" applyAlignment="1">
      <alignment horizontal="center" vertical="center"/>
    </xf>
    <xf numFmtId="0" fontId="16" fillId="0" borderId="11" xfId="6" applyFont="1" applyBorder="1" applyAlignment="1">
      <alignment horizontal="center" vertical="center"/>
    </xf>
    <xf numFmtId="0" fontId="16" fillId="0" borderId="12" xfId="6" applyFont="1" applyBorder="1" applyAlignment="1">
      <alignment horizontal="center" vertical="center"/>
    </xf>
    <xf numFmtId="0" fontId="16" fillId="0" borderId="13" xfId="6" applyFont="1" applyBorder="1" applyAlignment="1">
      <alignment horizontal="center" vertical="center"/>
    </xf>
    <xf numFmtId="0" fontId="16" fillId="0" borderId="11" xfId="6" applyFont="1" applyBorder="1" applyAlignment="1">
      <alignment horizontal="center" vertical="center" wrapText="1"/>
    </xf>
    <xf numFmtId="0" fontId="16" fillId="0" borderId="12" xfId="6" applyFont="1" applyBorder="1" applyAlignment="1">
      <alignment horizontal="center" vertical="center" wrapText="1"/>
    </xf>
    <xf numFmtId="0" fontId="16" fillId="0" borderId="13" xfId="6" applyFont="1" applyBorder="1" applyAlignment="1">
      <alignment horizontal="center" vertical="center" wrapText="1"/>
    </xf>
    <xf numFmtId="0" fontId="13" fillId="0" borderId="0" xfId="7">
      <alignment wrapText="1"/>
    </xf>
    <xf numFmtId="0" fontId="16" fillId="0" borderId="14" xfId="6" applyFont="1" applyBorder="1" applyAlignment="1">
      <alignment horizontal="center" vertical="center"/>
    </xf>
    <xf numFmtId="0" fontId="16" fillId="0" borderId="10"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3" xfId="6" applyFont="1" applyBorder="1" applyAlignment="1">
      <alignment horizontal="center" vertical="center"/>
    </xf>
    <xf numFmtId="0" fontId="16" fillId="0" borderId="3" xfId="6" applyFont="1" applyBorder="1" applyAlignment="1">
      <alignment horizontal="center" vertical="center" wrapText="1"/>
    </xf>
    <xf numFmtId="0" fontId="16" fillId="0" borderId="1" xfId="6" applyFont="1" applyBorder="1" applyAlignment="1">
      <alignment horizontal="center" vertical="center" wrapText="1"/>
    </xf>
    <xf numFmtId="0" fontId="17" fillId="0" borderId="1" xfId="6" applyFont="1" applyBorder="1"/>
    <xf numFmtId="0" fontId="17" fillId="0" borderId="1" xfId="6" applyFont="1" applyBorder="1" applyAlignment="1">
      <alignment wrapText="1"/>
    </xf>
    <xf numFmtId="4" fontId="8" fillId="0" borderId="1" xfId="0" applyNumberFormat="1" applyFont="1" applyBorder="1" applyAlignment="1">
      <alignment vertical="center"/>
    </xf>
    <xf numFmtId="43" fontId="17" fillId="0" borderId="1" xfId="8" applyFont="1" applyFill="1" applyBorder="1"/>
    <xf numFmtId="173" fontId="17" fillId="0" borderId="1" xfId="6" applyNumberFormat="1" applyFont="1" applyBorder="1"/>
    <xf numFmtId="4" fontId="17" fillId="0" borderId="1" xfId="9" applyNumberFormat="1" applyFont="1" applyFill="1" applyBorder="1"/>
    <xf numFmtId="0" fontId="8" fillId="0" borderId="0" xfId="0" applyFont="1" applyAlignment="1">
      <alignment vertical="center" wrapText="1"/>
    </xf>
    <xf numFmtId="0" fontId="8" fillId="0" borderId="0" xfId="0" applyFont="1" applyAlignment="1">
      <alignment vertical="center"/>
    </xf>
    <xf numFmtId="2" fontId="8" fillId="0" borderId="0" xfId="0" applyNumberFormat="1" applyFont="1" applyAlignment="1">
      <alignment vertical="center"/>
    </xf>
    <xf numFmtId="10" fontId="15" fillId="0" borderId="0" xfId="2" applyNumberFormat="1" applyFont="1" applyFill="1" applyBorder="1" applyAlignment="1">
      <alignment vertical="center"/>
    </xf>
    <xf numFmtId="4" fontId="8" fillId="0" borderId="0" xfId="0" applyNumberFormat="1" applyFont="1" applyAlignment="1">
      <alignment vertical="center"/>
    </xf>
    <xf numFmtId="0" fontId="17" fillId="0" borderId="0" xfId="6" applyFont="1" applyAlignment="1">
      <alignment horizontal="justify" vertical="center" wrapText="1"/>
    </xf>
    <xf numFmtId="0" fontId="17" fillId="0" borderId="0" xfId="6" applyFont="1" applyAlignment="1">
      <alignment vertical="center" wrapText="1"/>
    </xf>
    <xf numFmtId="0" fontId="19" fillId="0" borderId="0" xfId="0" applyFont="1" applyAlignment="1"/>
    <xf numFmtId="0" fontId="3" fillId="0" borderId="0" xfId="3" applyFill="1" applyAlignment="1"/>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7" fillId="0" borderId="1" xfId="0" applyFont="1" applyBorder="1" applyAlignment="1">
      <alignment horizontal="left" vertical="center" wrapText="1" readingOrder="1"/>
    </xf>
    <xf numFmtId="0" fontId="8" fillId="0" borderId="1" xfId="0" applyFont="1" applyBorder="1" applyAlignment="1">
      <alignment horizontal="justify" vertical="center"/>
    </xf>
    <xf numFmtId="0" fontId="8" fillId="0" borderId="1" xfId="0" applyFont="1" applyBorder="1">
      <alignment wrapText="1"/>
    </xf>
    <xf numFmtId="0" fontId="7" fillId="0" borderId="11" xfId="0" applyFont="1" applyBorder="1" applyAlignment="1">
      <alignment horizontal="left" vertical="center" wrapText="1" readingOrder="1"/>
    </xf>
    <xf numFmtId="0" fontId="7" fillId="0" borderId="13" xfId="0" applyFont="1" applyBorder="1" applyAlignment="1">
      <alignment horizontal="left" vertical="center" wrapText="1" readingOrder="1"/>
    </xf>
    <xf numFmtId="0" fontId="8" fillId="0" borderId="1" xfId="0" applyFont="1" applyBorder="1" applyAlignment="1">
      <alignment horizontal="justify" vertical="center" wrapText="1"/>
    </xf>
    <xf numFmtId="174" fontId="14" fillId="0" borderId="4" xfId="0" applyNumberFormat="1" applyFont="1" applyBorder="1" applyAlignment="1">
      <alignment horizontal="left" vertical="center" wrapText="1" readingOrder="1"/>
    </xf>
    <xf numFmtId="14" fontId="8" fillId="0" borderId="1" xfId="0" quotePrefix="1" applyNumberFormat="1" applyFont="1" applyBorder="1" applyAlignment="1">
      <alignment horizontal="justify" vertical="center" wrapText="1"/>
    </xf>
    <xf numFmtId="0" fontId="7" fillId="0" borderId="12" xfId="0" applyFont="1" applyBorder="1" applyAlignment="1">
      <alignment horizontal="left" vertical="center" wrapText="1" readingOrder="1"/>
    </xf>
    <xf numFmtId="0" fontId="11" fillId="0" borderId="0" xfId="0" applyFont="1" applyAlignment="1">
      <alignment horizontal="left" vertical="top" wrapText="1"/>
    </xf>
    <xf numFmtId="0" fontId="11" fillId="0" borderId="0" xfId="0" applyFont="1" applyAlignment="1"/>
    <xf numFmtId="0" fontId="0" fillId="0" borderId="0" xfId="0" applyAlignment="1"/>
  </cellXfs>
  <cellStyles count="10">
    <cellStyle name="Comma" xfId="1" builtinId="3"/>
    <cellStyle name="Comma 2" xfId="8" xr:uid="{5916E5B6-4C3B-4F77-AC92-71E81DC8CBC5}"/>
    <cellStyle name="Hyperlink 2" xfId="3" xr:uid="{F7F2F334-CBD4-4149-9506-1CF52BFEA7C8}"/>
    <cellStyle name="Normal" xfId="0" builtinId="0"/>
    <cellStyle name="Normal 2 2" xfId="5" xr:uid="{6023DC54-384D-4B1A-B975-D7986838B8DB}"/>
    <cellStyle name="Normal 2 2 2" xfId="6" xr:uid="{E8C37EE1-3CE7-4959-85E4-994370282731}"/>
    <cellStyle name="Normal 2 2 3 2 2 3 2" xfId="4" xr:uid="{8EAC8B9F-5184-4154-BAC0-998E6C59A83A}"/>
    <cellStyle name="Normal 3" xfId="7" xr:uid="{74188350-8B04-499D-B236-F48E1067C2CF}"/>
    <cellStyle name="Percent" xfId="2" builtinId="5"/>
    <cellStyle name="Percent 2" xfId="9" xr:uid="{8C554CE1-3D93-4CBE-A535-8ABC925C7E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2072189</xdr:colOff>
      <xdr:row>207</xdr:row>
      <xdr:rowOff>1980000</xdr:rowOff>
    </xdr:to>
    <xdr:pic>
      <xdr:nvPicPr>
        <xdr:cNvPr id="2" name="Picture 1">
          <a:extLst>
            <a:ext uri="{FF2B5EF4-FFF2-40B4-BE49-F238E27FC236}">
              <a16:creationId xmlns:a16="http://schemas.microsoft.com/office/drawing/2014/main" id="{FAF7CED1-DB06-4C4C-8031-4CDFBD2FE9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633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2</xdr:col>
      <xdr:colOff>2072189</xdr:colOff>
      <xdr:row>203</xdr:row>
      <xdr:rowOff>27375</xdr:rowOff>
    </xdr:to>
    <xdr:pic>
      <xdr:nvPicPr>
        <xdr:cNvPr id="3" name="Picture 2">
          <a:extLst>
            <a:ext uri="{FF2B5EF4-FFF2-40B4-BE49-F238E27FC236}">
              <a16:creationId xmlns:a16="http://schemas.microsoft.com/office/drawing/2014/main" id="{88A1B254-81FF-47BF-BFE9-EAA7917B58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033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1D20-DE67-437F-AF0B-E1ABA45221B9}">
  <sheetPr>
    <outlinePr summaryBelow="0" summaryRight="0"/>
  </sheetPr>
  <dimension ref="A1:Q210"/>
  <sheetViews>
    <sheetView showGridLines="0" tabSelected="1" workbookViewId="0">
      <selection sqref="A1:H1"/>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11" customWidth="1"/>
    <col min="9" max="9" width="15"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190000</v>
      </c>
      <c r="F7" s="12">
        <v>2669.5</v>
      </c>
      <c r="G7" s="13">
        <v>9.1327409999999998E-2</v>
      </c>
      <c r="H7" s="8" t="s">
        <v>13</v>
      </c>
    </row>
    <row r="8" spans="1:9" x14ac:dyDescent="0.2">
      <c r="A8" s="9">
        <v>2</v>
      </c>
      <c r="B8" s="10" t="s">
        <v>18</v>
      </c>
      <c r="C8" s="10" t="s">
        <v>19</v>
      </c>
      <c r="D8" s="10" t="s">
        <v>20</v>
      </c>
      <c r="E8" s="11">
        <v>155400</v>
      </c>
      <c r="F8" s="12">
        <v>2217.558</v>
      </c>
      <c r="G8" s="13">
        <v>7.5865829999999995E-2</v>
      </c>
      <c r="H8" s="8" t="s">
        <v>13</v>
      </c>
    </row>
    <row r="9" spans="1:9" x14ac:dyDescent="0.2">
      <c r="A9" s="9">
        <v>3</v>
      </c>
      <c r="B9" s="10" t="s">
        <v>21</v>
      </c>
      <c r="C9" s="10" t="s">
        <v>22</v>
      </c>
      <c r="D9" s="10" t="s">
        <v>20</v>
      </c>
      <c r="E9" s="11">
        <v>121250</v>
      </c>
      <c r="F9" s="12">
        <v>1436.8125</v>
      </c>
      <c r="G9" s="13">
        <v>4.9155409999999997E-2</v>
      </c>
      <c r="H9" s="8" t="s">
        <v>13</v>
      </c>
    </row>
    <row r="10" spans="1:9" x14ac:dyDescent="0.2">
      <c r="A10" s="9">
        <v>4</v>
      </c>
      <c r="B10" s="10" t="s">
        <v>23</v>
      </c>
      <c r="C10" s="10" t="s">
        <v>24</v>
      </c>
      <c r="D10" s="10" t="s">
        <v>25</v>
      </c>
      <c r="E10" s="11">
        <v>285600</v>
      </c>
      <c r="F10" s="12">
        <v>1165.8191999999999</v>
      </c>
      <c r="G10" s="13">
        <v>3.9884339999999997E-2</v>
      </c>
      <c r="H10" s="8" t="s">
        <v>13</v>
      </c>
    </row>
    <row r="11" spans="1:9" x14ac:dyDescent="0.2">
      <c r="A11" s="9">
        <v>5</v>
      </c>
      <c r="B11" s="10" t="s">
        <v>26</v>
      </c>
      <c r="C11" s="10" t="s">
        <v>27</v>
      </c>
      <c r="D11" s="10" t="s">
        <v>28</v>
      </c>
      <c r="E11" s="11">
        <v>228800</v>
      </c>
      <c r="F11" s="12">
        <v>974.23040000000003</v>
      </c>
      <c r="G11" s="13">
        <v>3.3329820000000003E-2</v>
      </c>
      <c r="H11" s="8" t="s">
        <v>13</v>
      </c>
    </row>
    <row r="12" spans="1:9" ht="25.5" x14ac:dyDescent="0.2">
      <c r="A12" s="9">
        <v>6</v>
      </c>
      <c r="B12" s="10" t="s">
        <v>29</v>
      </c>
      <c r="C12" s="10" t="s">
        <v>30</v>
      </c>
      <c r="D12" s="10" t="s">
        <v>31</v>
      </c>
      <c r="E12" s="11">
        <v>144000</v>
      </c>
      <c r="F12" s="12">
        <v>777.16800000000001</v>
      </c>
      <c r="G12" s="13">
        <v>2.6588029999999999E-2</v>
      </c>
      <c r="H12" s="8" t="s">
        <v>13</v>
      </c>
    </row>
    <row r="13" spans="1:9" x14ac:dyDescent="0.2">
      <c r="A13" s="9">
        <v>7</v>
      </c>
      <c r="B13" s="10" t="s">
        <v>32</v>
      </c>
      <c r="C13" s="10" t="s">
        <v>33</v>
      </c>
      <c r="D13" s="10" t="s">
        <v>34</v>
      </c>
      <c r="E13" s="11">
        <v>19950</v>
      </c>
      <c r="F13" s="12">
        <v>689.01315</v>
      </c>
      <c r="G13" s="13">
        <v>2.357213E-2</v>
      </c>
      <c r="H13" s="8" t="s">
        <v>13</v>
      </c>
    </row>
    <row r="14" spans="1:9" x14ac:dyDescent="0.2">
      <c r="A14" s="9">
        <v>8</v>
      </c>
      <c r="B14" s="10" t="s">
        <v>35</v>
      </c>
      <c r="C14" s="10" t="s">
        <v>36</v>
      </c>
      <c r="D14" s="10" t="s">
        <v>37</v>
      </c>
      <c r="E14" s="11">
        <v>7625</v>
      </c>
      <c r="F14" s="12">
        <v>658.38062500000001</v>
      </c>
      <c r="G14" s="13">
        <v>2.2524140000000002E-2</v>
      </c>
      <c r="H14" s="8" t="s">
        <v>13</v>
      </c>
    </row>
    <row r="15" spans="1:9" ht="25.5" x14ac:dyDescent="0.2">
      <c r="A15" s="9">
        <v>9</v>
      </c>
      <c r="B15" s="10" t="s">
        <v>38</v>
      </c>
      <c r="C15" s="10" t="s">
        <v>39</v>
      </c>
      <c r="D15" s="10" t="s">
        <v>40</v>
      </c>
      <c r="E15" s="11">
        <v>27600</v>
      </c>
      <c r="F15" s="12">
        <v>635.15880000000004</v>
      </c>
      <c r="G15" s="13">
        <v>2.1729689999999999E-2</v>
      </c>
      <c r="H15" s="8" t="s">
        <v>13</v>
      </c>
    </row>
    <row r="16" spans="1:9" x14ac:dyDescent="0.2">
      <c r="A16" s="9">
        <v>10</v>
      </c>
      <c r="B16" s="10" t="s">
        <v>41</v>
      </c>
      <c r="C16" s="10" t="s">
        <v>42</v>
      </c>
      <c r="D16" s="10" t="s">
        <v>43</v>
      </c>
      <c r="E16" s="11">
        <v>18750</v>
      </c>
      <c r="F16" s="12">
        <v>626.4375</v>
      </c>
      <c r="G16" s="13">
        <v>2.143132E-2</v>
      </c>
      <c r="H16" s="8" t="s">
        <v>13</v>
      </c>
    </row>
    <row r="17" spans="1:8" ht="25.5" x14ac:dyDescent="0.2">
      <c r="A17" s="9">
        <v>11</v>
      </c>
      <c r="B17" s="10" t="s">
        <v>44</v>
      </c>
      <c r="C17" s="10" t="s">
        <v>45</v>
      </c>
      <c r="D17" s="10" t="s">
        <v>46</v>
      </c>
      <c r="E17" s="11">
        <v>32900</v>
      </c>
      <c r="F17" s="12">
        <v>602.82669999999996</v>
      </c>
      <c r="G17" s="13">
        <v>2.0623559999999999E-2</v>
      </c>
      <c r="H17" s="8" t="s">
        <v>13</v>
      </c>
    </row>
    <row r="18" spans="1:8" x14ac:dyDescent="0.2">
      <c r="A18" s="9">
        <v>12</v>
      </c>
      <c r="B18" s="10" t="s">
        <v>47</v>
      </c>
      <c r="C18" s="10" t="s">
        <v>48</v>
      </c>
      <c r="D18" s="10" t="s">
        <v>49</v>
      </c>
      <c r="E18" s="11">
        <v>85800</v>
      </c>
      <c r="F18" s="12">
        <v>578.54939999999999</v>
      </c>
      <c r="G18" s="13">
        <v>1.9793000000000002E-2</v>
      </c>
      <c r="H18" s="8" t="s">
        <v>13</v>
      </c>
    </row>
    <row r="19" spans="1:8" x14ac:dyDescent="0.2">
      <c r="A19" s="9">
        <v>13</v>
      </c>
      <c r="B19" s="10" t="s">
        <v>50</v>
      </c>
      <c r="C19" s="10" t="s">
        <v>51</v>
      </c>
      <c r="D19" s="10" t="s">
        <v>52</v>
      </c>
      <c r="E19" s="11">
        <v>81200</v>
      </c>
      <c r="F19" s="12">
        <v>507.2158</v>
      </c>
      <c r="G19" s="13">
        <v>1.7352579999999999E-2</v>
      </c>
      <c r="H19" s="8" t="s">
        <v>13</v>
      </c>
    </row>
    <row r="20" spans="1:8" x14ac:dyDescent="0.2">
      <c r="A20" s="9">
        <v>14</v>
      </c>
      <c r="B20" s="10" t="s">
        <v>53</v>
      </c>
      <c r="C20" s="10" t="s">
        <v>54</v>
      </c>
      <c r="D20" s="10" t="s">
        <v>34</v>
      </c>
      <c r="E20" s="11">
        <v>32000</v>
      </c>
      <c r="F20" s="12">
        <v>480.03199999999998</v>
      </c>
      <c r="G20" s="13">
        <v>1.6422579999999999E-2</v>
      </c>
      <c r="H20" s="8" t="s">
        <v>13</v>
      </c>
    </row>
    <row r="21" spans="1:8" x14ac:dyDescent="0.2">
      <c r="A21" s="9">
        <v>15</v>
      </c>
      <c r="B21" s="10" t="s">
        <v>55</v>
      </c>
      <c r="C21" s="10" t="s">
        <v>56</v>
      </c>
      <c r="D21" s="10" t="s">
        <v>57</v>
      </c>
      <c r="E21" s="11">
        <v>58000</v>
      </c>
      <c r="F21" s="12">
        <v>456.86599999999999</v>
      </c>
      <c r="G21" s="13">
        <v>1.5630040000000001E-2</v>
      </c>
      <c r="H21" s="8" t="s">
        <v>13</v>
      </c>
    </row>
    <row r="22" spans="1:8" x14ac:dyDescent="0.2">
      <c r="A22" s="9">
        <v>16</v>
      </c>
      <c r="B22" s="10" t="s">
        <v>58</v>
      </c>
      <c r="C22" s="10" t="s">
        <v>59</v>
      </c>
      <c r="D22" s="10" t="s">
        <v>60</v>
      </c>
      <c r="E22" s="11">
        <v>12600</v>
      </c>
      <c r="F22" s="12">
        <v>425.84219999999999</v>
      </c>
      <c r="G22" s="13">
        <v>1.4568670000000001E-2</v>
      </c>
      <c r="H22" s="8" t="s">
        <v>13</v>
      </c>
    </row>
    <row r="23" spans="1:8" x14ac:dyDescent="0.2">
      <c r="A23" s="9">
        <v>17</v>
      </c>
      <c r="B23" s="10" t="s">
        <v>61</v>
      </c>
      <c r="C23" s="10" t="s">
        <v>62</v>
      </c>
      <c r="D23" s="10" t="s">
        <v>25</v>
      </c>
      <c r="E23" s="11">
        <v>22800</v>
      </c>
      <c r="F23" s="12">
        <v>425.10599999999999</v>
      </c>
      <c r="G23" s="13">
        <v>1.4543479999999999E-2</v>
      </c>
      <c r="H23" s="8" t="s">
        <v>13</v>
      </c>
    </row>
    <row r="24" spans="1:8" x14ac:dyDescent="0.2">
      <c r="A24" s="9">
        <v>18</v>
      </c>
      <c r="B24" s="10" t="s">
        <v>63</v>
      </c>
      <c r="C24" s="10" t="s">
        <v>64</v>
      </c>
      <c r="D24" s="10" t="s">
        <v>20</v>
      </c>
      <c r="E24" s="11">
        <v>157950</v>
      </c>
      <c r="F24" s="12">
        <v>394.76443499999999</v>
      </c>
      <c r="G24" s="13">
        <v>1.350546E-2</v>
      </c>
      <c r="H24" s="8" t="s">
        <v>13</v>
      </c>
    </row>
    <row r="25" spans="1:8" x14ac:dyDescent="0.2">
      <c r="A25" s="9">
        <v>19</v>
      </c>
      <c r="B25" s="10" t="s">
        <v>65</v>
      </c>
      <c r="C25" s="10" t="s">
        <v>66</v>
      </c>
      <c r="D25" s="10" t="s">
        <v>25</v>
      </c>
      <c r="E25" s="11">
        <v>435750</v>
      </c>
      <c r="F25" s="12">
        <v>345.94192500000003</v>
      </c>
      <c r="G25" s="13">
        <v>1.1835170000000001E-2</v>
      </c>
      <c r="H25" s="8" t="s">
        <v>13</v>
      </c>
    </row>
    <row r="26" spans="1:8" x14ac:dyDescent="0.2">
      <c r="A26" s="9">
        <v>20</v>
      </c>
      <c r="B26" s="10" t="s">
        <v>67</v>
      </c>
      <c r="C26" s="10" t="s">
        <v>68</v>
      </c>
      <c r="D26" s="10" t="s">
        <v>69</v>
      </c>
      <c r="E26" s="11">
        <v>52800</v>
      </c>
      <c r="F26" s="12">
        <v>340.16399999999999</v>
      </c>
      <c r="G26" s="13">
        <v>1.16375E-2</v>
      </c>
      <c r="H26" s="8" t="s">
        <v>13</v>
      </c>
    </row>
    <row r="27" spans="1:8" x14ac:dyDescent="0.2">
      <c r="A27" s="9">
        <v>21</v>
      </c>
      <c r="B27" s="10" t="s">
        <v>70</v>
      </c>
      <c r="C27" s="10" t="s">
        <v>71</v>
      </c>
      <c r="D27" s="10" t="s">
        <v>20</v>
      </c>
      <c r="E27" s="11">
        <v>14000</v>
      </c>
      <c r="F27" s="12">
        <v>309.13400000000001</v>
      </c>
      <c r="G27" s="13">
        <v>1.0575920000000001E-2</v>
      </c>
      <c r="H27" s="8" t="s">
        <v>13</v>
      </c>
    </row>
    <row r="28" spans="1:8" x14ac:dyDescent="0.2">
      <c r="A28" s="9">
        <v>22</v>
      </c>
      <c r="B28" s="10" t="s">
        <v>72</v>
      </c>
      <c r="C28" s="10" t="s">
        <v>73</v>
      </c>
      <c r="D28" s="10" t="s">
        <v>74</v>
      </c>
      <c r="E28" s="11">
        <v>74250</v>
      </c>
      <c r="F28" s="12">
        <v>285.41699999999997</v>
      </c>
      <c r="G28" s="13">
        <v>9.7645200000000005E-3</v>
      </c>
      <c r="H28" s="8" t="s">
        <v>13</v>
      </c>
    </row>
    <row r="29" spans="1:8" ht="25.5" x14ac:dyDescent="0.2">
      <c r="A29" s="9">
        <v>23</v>
      </c>
      <c r="B29" s="10" t="s">
        <v>75</v>
      </c>
      <c r="C29" s="10" t="s">
        <v>76</v>
      </c>
      <c r="D29" s="10" t="s">
        <v>46</v>
      </c>
      <c r="E29" s="11">
        <v>16250</v>
      </c>
      <c r="F29" s="12">
        <v>251.89125000000001</v>
      </c>
      <c r="G29" s="13">
        <v>8.6175599999999998E-3</v>
      </c>
      <c r="H29" s="8" t="s">
        <v>13</v>
      </c>
    </row>
    <row r="30" spans="1:8" x14ac:dyDescent="0.2">
      <c r="A30" s="9">
        <v>24</v>
      </c>
      <c r="B30" s="10" t="s">
        <v>77</v>
      </c>
      <c r="C30" s="10" t="s">
        <v>78</v>
      </c>
      <c r="D30" s="10" t="s">
        <v>79</v>
      </c>
      <c r="E30" s="11">
        <v>12375</v>
      </c>
      <c r="F30" s="12">
        <v>218.51775000000001</v>
      </c>
      <c r="G30" s="13">
        <v>7.4758100000000003E-3</v>
      </c>
      <c r="H30" s="8" t="s">
        <v>13</v>
      </c>
    </row>
    <row r="31" spans="1:8" x14ac:dyDescent="0.2">
      <c r="A31" s="9">
        <v>25</v>
      </c>
      <c r="B31" s="10" t="s">
        <v>80</v>
      </c>
      <c r="C31" s="10" t="s">
        <v>81</v>
      </c>
      <c r="D31" s="10" t="s">
        <v>20</v>
      </c>
      <c r="E31" s="11">
        <v>216000</v>
      </c>
      <c r="F31" s="12">
        <v>216.45359999999999</v>
      </c>
      <c r="G31" s="13">
        <v>7.4051899999999999E-3</v>
      </c>
      <c r="H31" s="8" t="s">
        <v>13</v>
      </c>
    </row>
    <row r="32" spans="1:8" x14ac:dyDescent="0.2">
      <c r="A32" s="9">
        <v>26</v>
      </c>
      <c r="B32" s="10" t="s">
        <v>82</v>
      </c>
      <c r="C32" s="10" t="s">
        <v>83</v>
      </c>
      <c r="D32" s="10" t="s">
        <v>37</v>
      </c>
      <c r="E32" s="11">
        <v>102600</v>
      </c>
      <c r="F32" s="12">
        <v>201.46536</v>
      </c>
      <c r="G32" s="13">
        <v>6.8924199999999998E-3</v>
      </c>
      <c r="H32" s="8" t="s">
        <v>13</v>
      </c>
    </row>
    <row r="33" spans="1:9" x14ac:dyDescent="0.2">
      <c r="A33" s="9">
        <v>27</v>
      </c>
      <c r="B33" s="10" t="s">
        <v>84</v>
      </c>
      <c r="C33" s="10" t="s">
        <v>85</v>
      </c>
      <c r="D33" s="10" t="s">
        <v>86</v>
      </c>
      <c r="E33" s="11">
        <v>137500</v>
      </c>
      <c r="F33" s="12">
        <v>192.61</v>
      </c>
      <c r="G33" s="13">
        <v>6.5894600000000001E-3</v>
      </c>
      <c r="H33" s="8" t="s">
        <v>13</v>
      </c>
    </row>
    <row r="34" spans="1:9" x14ac:dyDescent="0.2">
      <c r="A34" s="9">
        <v>28</v>
      </c>
      <c r="B34" s="10" t="s">
        <v>87</v>
      </c>
      <c r="C34" s="10" t="s">
        <v>88</v>
      </c>
      <c r="D34" s="10" t="s">
        <v>20</v>
      </c>
      <c r="E34" s="11">
        <v>168750</v>
      </c>
      <c r="F34" s="12">
        <v>164.44687500000001</v>
      </c>
      <c r="G34" s="13">
        <v>5.6259600000000002E-3</v>
      </c>
      <c r="H34" s="8" t="s">
        <v>13</v>
      </c>
    </row>
    <row r="35" spans="1:9" ht="25.5" x14ac:dyDescent="0.2">
      <c r="A35" s="9">
        <v>29</v>
      </c>
      <c r="B35" s="10" t="s">
        <v>89</v>
      </c>
      <c r="C35" s="10" t="s">
        <v>90</v>
      </c>
      <c r="D35" s="10" t="s">
        <v>46</v>
      </c>
      <c r="E35" s="11">
        <v>13200</v>
      </c>
      <c r="F35" s="12">
        <v>162.24119999999999</v>
      </c>
      <c r="G35" s="13">
        <v>5.5504999999999999E-3</v>
      </c>
      <c r="H35" s="8" t="s">
        <v>13</v>
      </c>
    </row>
    <row r="36" spans="1:9" x14ac:dyDescent="0.2">
      <c r="A36" s="9">
        <v>30</v>
      </c>
      <c r="B36" s="10" t="s">
        <v>91</v>
      </c>
      <c r="C36" s="10" t="s">
        <v>92</v>
      </c>
      <c r="D36" s="10" t="s">
        <v>20</v>
      </c>
      <c r="E36" s="11">
        <v>7150</v>
      </c>
      <c r="F36" s="12">
        <v>137.63749999999999</v>
      </c>
      <c r="G36" s="13">
        <v>4.7087800000000001E-3</v>
      </c>
      <c r="H36" s="8" t="s">
        <v>13</v>
      </c>
    </row>
    <row r="37" spans="1:9" x14ac:dyDescent="0.2">
      <c r="A37" s="9">
        <v>31</v>
      </c>
      <c r="B37" s="10" t="s">
        <v>93</v>
      </c>
      <c r="C37" s="10" t="s">
        <v>94</v>
      </c>
      <c r="D37" s="10" t="s">
        <v>95</v>
      </c>
      <c r="E37" s="11">
        <v>46800</v>
      </c>
      <c r="F37" s="12">
        <v>123.34139999999999</v>
      </c>
      <c r="G37" s="13">
        <v>4.2196899999999999E-3</v>
      </c>
      <c r="H37" s="8" t="s">
        <v>13</v>
      </c>
    </row>
    <row r="38" spans="1:9" x14ac:dyDescent="0.2">
      <c r="A38" s="9">
        <v>32</v>
      </c>
      <c r="B38" s="10" t="s">
        <v>96</v>
      </c>
      <c r="C38" s="10" t="s">
        <v>97</v>
      </c>
      <c r="D38" s="10" t="s">
        <v>69</v>
      </c>
      <c r="E38" s="11">
        <v>3850</v>
      </c>
      <c r="F38" s="12">
        <v>112.75879999999999</v>
      </c>
      <c r="G38" s="13">
        <v>3.8576399999999999E-3</v>
      </c>
      <c r="H38" s="8" t="s">
        <v>13</v>
      </c>
    </row>
    <row r="39" spans="1:9" x14ac:dyDescent="0.2">
      <c r="A39" s="9">
        <v>33</v>
      </c>
      <c r="B39" s="10" t="s">
        <v>98</v>
      </c>
      <c r="C39" s="10" t="s">
        <v>99</v>
      </c>
      <c r="D39" s="10" t="s">
        <v>37</v>
      </c>
      <c r="E39" s="11">
        <v>3500</v>
      </c>
      <c r="F39" s="12">
        <v>68.305999999999997</v>
      </c>
      <c r="G39" s="13">
        <v>2.3368500000000001E-3</v>
      </c>
      <c r="H39" s="8" t="s">
        <v>13</v>
      </c>
    </row>
    <row r="40" spans="1:9" x14ac:dyDescent="0.2">
      <c r="A40" s="9">
        <v>34</v>
      </c>
      <c r="B40" s="10" t="s">
        <v>100</v>
      </c>
      <c r="C40" s="10" t="s">
        <v>101</v>
      </c>
      <c r="D40" s="10" t="s">
        <v>102</v>
      </c>
      <c r="E40" s="11">
        <v>15750</v>
      </c>
      <c r="F40" s="12">
        <v>60.684750000000001</v>
      </c>
      <c r="G40" s="13">
        <v>2.0761099999999999E-3</v>
      </c>
      <c r="H40" s="8" t="s">
        <v>13</v>
      </c>
    </row>
    <row r="41" spans="1:9" x14ac:dyDescent="0.2">
      <c r="A41" s="9">
        <v>35</v>
      </c>
      <c r="B41" s="10" t="s">
        <v>103</v>
      </c>
      <c r="C41" s="10" t="s">
        <v>104</v>
      </c>
      <c r="D41" s="10" t="s">
        <v>74</v>
      </c>
      <c r="E41" s="11">
        <v>13500</v>
      </c>
      <c r="F41" s="12">
        <v>47.864249999999998</v>
      </c>
      <c r="G41" s="13">
        <v>1.6375000000000001E-3</v>
      </c>
      <c r="H41" s="8" t="s">
        <v>13</v>
      </c>
    </row>
    <row r="42" spans="1:9" x14ac:dyDescent="0.2">
      <c r="A42" s="9">
        <v>36</v>
      </c>
      <c r="B42" s="10" t="s">
        <v>105</v>
      </c>
      <c r="C42" s="10" t="s">
        <v>106</v>
      </c>
      <c r="D42" s="10" t="s">
        <v>17</v>
      </c>
      <c r="E42" s="11">
        <v>19500</v>
      </c>
      <c r="F42" s="12">
        <v>26.8827</v>
      </c>
      <c r="G42" s="13">
        <v>9.1969999999999997E-4</v>
      </c>
      <c r="H42" s="8" t="s">
        <v>13</v>
      </c>
    </row>
    <row r="43" spans="1:9" x14ac:dyDescent="0.2">
      <c r="A43" s="9">
        <v>37</v>
      </c>
      <c r="B43" s="10" t="s">
        <v>107</v>
      </c>
      <c r="C43" s="10" t="s">
        <v>108</v>
      </c>
      <c r="D43" s="10" t="s">
        <v>109</v>
      </c>
      <c r="E43" s="11">
        <v>600</v>
      </c>
      <c r="F43" s="12">
        <v>18.381599999999999</v>
      </c>
      <c r="G43" s="13">
        <v>6.2885999999999997E-4</v>
      </c>
      <c r="H43" s="8" t="s">
        <v>13</v>
      </c>
    </row>
    <row r="44" spans="1:9" ht="25.5" x14ac:dyDescent="0.2">
      <c r="A44" s="9">
        <v>38</v>
      </c>
      <c r="B44" s="10" t="s">
        <v>110</v>
      </c>
      <c r="C44" s="10" t="s">
        <v>111</v>
      </c>
      <c r="D44" s="10" t="s">
        <v>112</v>
      </c>
      <c r="E44" s="11">
        <v>3000</v>
      </c>
      <c r="F44" s="12">
        <v>12.637499999999999</v>
      </c>
      <c r="G44" s="13">
        <v>4.3235000000000002E-4</v>
      </c>
      <c r="H44" s="8" t="s">
        <v>13</v>
      </c>
    </row>
    <row r="45" spans="1:9" x14ac:dyDescent="0.2">
      <c r="A45" s="9">
        <v>39</v>
      </c>
      <c r="B45" s="14" t="s">
        <v>113</v>
      </c>
      <c r="C45" s="14" t="s">
        <v>114</v>
      </c>
      <c r="D45" s="14" t="s">
        <v>115</v>
      </c>
      <c r="E45" s="15">
        <v>1333</v>
      </c>
      <c r="F45" s="16">
        <v>0.01</v>
      </c>
      <c r="G45" s="17" t="s">
        <v>116</v>
      </c>
      <c r="H45" s="8" t="s">
        <v>13</v>
      </c>
      <c r="I45" s="18"/>
    </row>
    <row r="46" spans="1:9" x14ac:dyDescent="0.2">
      <c r="A46" s="6"/>
      <c r="B46" s="6"/>
      <c r="C46" s="7" t="s">
        <v>117</v>
      </c>
      <c r="D46" s="6"/>
      <c r="E46" s="6" t="s">
        <v>13</v>
      </c>
      <c r="F46" s="19">
        <f>SUM(F7:F45)</f>
        <v>19018.068169999995</v>
      </c>
      <c r="G46" s="20">
        <f>SUM(G7:G44)</f>
        <v>0.65063497999999986</v>
      </c>
      <c r="H46" s="8" t="s">
        <v>13</v>
      </c>
    </row>
    <row r="47" spans="1:9" x14ac:dyDescent="0.2">
      <c r="A47" s="6"/>
      <c r="B47" s="6"/>
      <c r="C47" s="21"/>
      <c r="D47" s="6"/>
      <c r="E47" s="6"/>
      <c r="F47" s="22"/>
      <c r="G47" s="22"/>
      <c r="H47" s="8" t="s">
        <v>13</v>
      </c>
    </row>
    <row r="48" spans="1:9" x14ac:dyDescent="0.2">
      <c r="A48" s="6"/>
      <c r="B48" s="6"/>
      <c r="C48" s="7" t="s">
        <v>118</v>
      </c>
      <c r="D48" s="6"/>
      <c r="E48" s="6"/>
      <c r="F48" s="6"/>
      <c r="G48" s="6"/>
      <c r="H48" s="8" t="s">
        <v>13</v>
      </c>
    </row>
    <row r="49" spans="1:8" x14ac:dyDescent="0.2">
      <c r="A49" s="6"/>
      <c r="B49" s="6"/>
      <c r="C49" s="7" t="s">
        <v>117</v>
      </c>
      <c r="D49" s="6"/>
      <c r="E49" s="6" t="s">
        <v>13</v>
      </c>
      <c r="F49" s="23" t="s">
        <v>119</v>
      </c>
      <c r="G49" s="20">
        <v>0</v>
      </c>
      <c r="H49" s="8" t="s">
        <v>13</v>
      </c>
    </row>
    <row r="50" spans="1:8" x14ac:dyDescent="0.2">
      <c r="A50" s="6"/>
      <c r="B50" s="6"/>
      <c r="C50" s="21"/>
      <c r="D50" s="6"/>
      <c r="E50" s="6"/>
      <c r="F50" s="22"/>
      <c r="G50" s="22"/>
      <c r="H50" s="8" t="s">
        <v>13</v>
      </c>
    </row>
    <row r="51" spans="1:8" x14ac:dyDescent="0.2">
      <c r="A51" s="6"/>
      <c r="B51" s="6"/>
      <c r="C51" s="7" t="s">
        <v>120</v>
      </c>
      <c r="D51" s="6"/>
      <c r="E51" s="6"/>
      <c r="F51" s="6"/>
      <c r="G51" s="6"/>
      <c r="H51" s="8" t="s">
        <v>13</v>
      </c>
    </row>
    <row r="52" spans="1:8" x14ac:dyDescent="0.2">
      <c r="A52" s="6"/>
      <c r="B52" s="6"/>
      <c r="C52" s="7" t="s">
        <v>117</v>
      </c>
      <c r="D52" s="6"/>
      <c r="E52" s="6" t="s">
        <v>13</v>
      </c>
      <c r="F52" s="23" t="s">
        <v>119</v>
      </c>
      <c r="G52" s="20">
        <v>0</v>
      </c>
      <c r="H52" s="8" t="s">
        <v>13</v>
      </c>
    </row>
    <row r="53" spans="1:8" x14ac:dyDescent="0.2">
      <c r="A53" s="6"/>
      <c r="B53" s="6"/>
      <c r="C53" s="21"/>
      <c r="D53" s="6"/>
      <c r="E53" s="6"/>
      <c r="F53" s="22"/>
      <c r="G53" s="22"/>
      <c r="H53" s="8" t="s">
        <v>13</v>
      </c>
    </row>
    <row r="54" spans="1:8" x14ac:dyDescent="0.2">
      <c r="A54" s="6"/>
      <c r="B54" s="6"/>
      <c r="C54" s="7" t="s">
        <v>121</v>
      </c>
      <c r="D54" s="6"/>
      <c r="E54" s="6"/>
      <c r="F54" s="6"/>
      <c r="G54" s="6"/>
      <c r="H54" s="8" t="s">
        <v>13</v>
      </c>
    </row>
    <row r="55" spans="1:8" x14ac:dyDescent="0.2">
      <c r="A55" s="6"/>
      <c r="B55" s="6"/>
      <c r="C55" s="7" t="s">
        <v>117</v>
      </c>
      <c r="D55" s="6"/>
      <c r="E55" s="6" t="s">
        <v>13</v>
      </c>
      <c r="F55" s="23" t="s">
        <v>119</v>
      </c>
      <c r="G55" s="20">
        <v>0</v>
      </c>
      <c r="H55" s="8" t="s">
        <v>13</v>
      </c>
    </row>
    <row r="56" spans="1:8" x14ac:dyDescent="0.2">
      <c r="A56" s="6"/>
      <c r="B56" s="6"/>
      <c r="C56" s="21"/>
      <c r="D56" s="6"/>
      <c r="E56" s="6"/>
      <c r="F56" s="22"/>
      <c r="G56" s="22"/>
      <c r="H56" s="8" t="s">
        <v>13</v>
      </c>
    </row>
    <row r="57" spans="1:8" x14ac:dyDescent="0.2">
      <c r="A57" s="6"/>
      <c r="B57" s="6"/>
      <c r="C57" s="7" t="s">
        <v>122</v>
      </c>
      <c r="D57" s="6"/>
      <c r="E57" s="6"/>
      <c r="F57" s="22"/>
      <c r="G57" s="22"/>
      <c r="H57" s="8" t="s">
        <v>13</v>
      </c>
    </row>
    <row r="58" spans="1:8" x14ac:dyDescent="0.2">
      <c r="A58" s="6"/>
      <c r="B58" s="6"/>
      <c r="C58" s="7" t="s">
        <v>117</v>
      </c>
      <c r="D58" s="6"/>
      <c r="E58" s="6" t="s">
        <v>13</v>
      </c>
      <c r="F58" s="23" t="s">
        <v>119</v>
      </c>
      <c r="G58" s="20">
        <v>0</v>
      </c>
      <c r="H58" s="8" t="s">
        <v>13</v>
      </c>
    </row>
    <row r="59" spans="1:8" x14ac:dyDescent="0.2">
      <c r="A59" s="6"/>
      <c r="B59" s="6"/>
      <c r="C59" s="21"/>
      <c r="D59" s="6"/>
      <c r="E59" s="6"/>
      <c r="F59" s="22"/>
      <c r="G59" s="22"/>
      <c r="H59" s="8" t="s">
        <v>13</v>
      </c>
    </row>
    <row r="60" spans="1:8" x14ac:dyDescent="0.2">
      <c r="A60" s="6"/>
      <c r="B60" s="6"/>
      <c r="C60" s="7" t="s">
        <v>123</v>
      </c>
      <c r="D60" s="6"/>
      <c r="E60" s="6"/>
      <c r="F60" s="22"/>
      <c r="G60" s="22"/>
      <c r="H60" s="8" t="s">
        <v>13</v>
      </c>
    </row>
    <row r="61" spans="1:8" x14ac:dyDescent="0.2">
      <c r="A61" s="9">
        <v>1</v>
      </c>
      <c r="B61" s="10"/>
      <c r="C61" s="10" t="s">
        <v>124</v>
      </c>
      <c r="D61" s="10" t="s">
        <v>125</v>
      </c>
      <c r="E61" s="11">
        <v>-3000</v>
      </c>
      <c r="F61" s="12">
        <v>-12.6975</v>
      </c>
      <c r="G61" s="13">
        <f>F61/$F$153</f>
        <v>-4.3439962951439268E-4</v>
      </c>
      <c r="H61" s="8" t="s">
        <v>13</v>
      </c>
    </row>
    <row r="62" spans="1:8" x14ac:dyDescent="0.2">
      <c r="A62" s="9">
        <v>2</v>
      </c>
      <c r="B62" s="10"/>
      <c r="C62" s="10" t="s">
        <v>126</v>
      </c>
      <c r="D62" s="10" t="s">
        <v>125</v>
      </c>
      <c r="E62" s="11">
        <v>-600</v>
      </c>
      <c r="F62" s="12">
        <v>-18.3996</v>
      </c>
      <c r="G62" s="13">
        <f t="shared" ref="G62:G98" si="0">F62/$F$153</f>
        <v>-6.2947662321031854E-4</v>
      </c>
      <c r="H62" s="8" t="s">
        <v>13</v>
      </c>
    </row>
    <row r="63" spans="1:8" x14ac:dyDescent="0.2">
      <c r="A63" s="9">
        <v>3</v>
      </c>
      <c r="B63" s="10"/>
      <c r="C63" s="10" t="s">
        <v>127</v>
      </c>
      <c r="D63" s="10" t="s">
        <v>125</v>
      </c>
      <c r="E63" s="11">
        <v>-19500</v>
      </c>
      <c r="F63" s="12">
        <v>-26.99775</v>
      </c>
      <c r="G63" s="13">
        <f t="shared" si="0"/>
        <v>-9.2363162809389217E-4</v>
      </c>
      <c r="H63" s="8" t="s">
        <v>13</v>
      </c>
    </row>
    <row r="64" spans="1:8" x14ac:dyDescent="0.2">
      <c r="A64" s="9">
        <v>4</v>
      </c>
      <c r="B64" s="10"/>
      <c r="C64" s="10" t="s">
        <v>128</v>
      </c>
      <c r="D64" s="10" t="s">
        <v>125</v>
      </c>
      <c r="E64" s="11">
        <v>-13500</v>
      </c>
      <c r="F64" s="12">
        <v>-48.100499999999997</v>
      </c>
      <c r="G64" s="13">
        <f t="shared" si="0"/>
        <v>-1.6455868776890762E-3</v>
      </c>
      <c r="H64" s="8" t="s">
        <v>13</v>
      </c>
    </row>
    <row r="65" spans="1:8" x14ac:dyDescent="0.2">
      <c r="A65" s="9">
        <v>5</v>
      </c>
      <c r="B65" s="10"/>
      <c r="C65" s="10" t="s">
        <v>129</v>
      </c>
      <c r="D65" s="10" t="s">
        <v>125</v>
      </c>
      <c r="E65" s="11">
        <v>-15750</v>
      </c>
      <c r="F65" s="12">
        <v>-60.968249999999998</v>
      </c>
      <c r="G65" s="13">
        <f t="shared" si="0"/>
        <v>-2.0858110031219432E-3</v>
      </c>
      <c r="H65" s="8" t="s">
        <v>13</v>
      </c>
    </row>
    <row r="66" spans="1:8" x14ac:dyDescent="0.2">
      <c r="A66" s="9">
        <v>6</v>
      </c>
      <c r="B66" s="10"/>
      <c r="C66" s="10" t="s">
        <v>130</v>
      </c>
      <c r="D66" s="10" t="s">
        <v>125</v>
      </c>
      <c r="E66" s="11">
        <v>-3500</v>
      </c>
      <c r="F66" s="12">
        <v>-68.526499999999999</v>
      </c>
      <c r="G66" s="13">
        <f t="shared" si="0"/>
        <v>-2.3443895421868897E-3</v>
      </c>
      <c r="H66" s="8" t="s">
        <v>13</v>
      </c>
    </row>
    <row r="67" spans="1:8" x14ac:dyDescent="0.2">
      <c r="A67" s="9">
        <v>7</v>
      </c>
      <c r="B67" s="10"/>
      <c r="C67" s="10" t="s">
        <v>131</v>
      </c>
      <c r="D67" s="10" t="s">
        <v>125</v>
      </c>
      <c r="E67" s="11">
        <v>-3850</v>
      </c>
      <c r="F67" s="12">
        <v>-113.1823</v>
      </c>
      <c r="G67" s="13">
        <f t="shared" si="0"/>
        <v>-3.8721283077445836E-3</v>
      </c>
      <c r="H67" s="8" t="s">
        <v>13</v>
      </c>
    </row>
    <row r="68" spans="1:8" ht="25.5" x14ac:dyDescent="0.2">
      <c r="A68" s="9">
        <v>8</v>
      </c>
      <c r="B68" s="10"/>
      <c r="C68" s="10" t="s">
        <v>132</v>
      </c>
      <c r="D68" s="10" t="s">
        <v>125</v>
      </c>
      <c r="E68" s="11">
        <v>-46800</v>
      </c>
      <c r="F68" s="12">
        <v>-123.7392</v>
      </c>
      <c r="G68" s="13">
        <f t="shared" si="0"/>
        <v>-4.2332949506916594E-3</v>
      </c>
      <c r="H68" s="8" t="s">
        <v>13</v>
      </c>
    </row>
    <row r="69" spans="1:8" x14ac:dyDescent="0.2">
      <c r="A69" s="9">
        <v>9</v>
      </c>
      <c r="B69" s="10"/>
      <c r="C69" s="10" t="s">
        <v>133</v>
      </c>
      <c r="D69" s="10" t="s">
        <v>125</v>
      </c>
      <c r="E69" s="11">
        <v>-7150</v>
      </c>
      <c r="F69" s="12">
        <v>-138.28100000000001</v>
      </c>
      <c r="G69" s="13">
        <f t="shared" si="0"/>
        <v>-4.7307907201322892E-3</v>
      </c>
      <c r="H69" s="8" t="s">
        <v>13</v>
      </c>
    </row>
    <row r="70" spans="1:8" x14ac:dyDescent="0.2">
      <c r="A70" s="9">
        <v>10</v>
      </c>
      <c r="B70" s="10"/>
      <c r="C70" s="10" t="s">
        <v>134</v>
      </c>
      <c r="D70" s="10" t="s">
        <v>125</v>
      </c>
      <c r="E70" s="11">
        <v>-13200</v>
      </c>
      <c r="F70" s="12">
        <v>-162.79560000000001</v>
      </c>
      <c r="G70" s="13">
        <f t="shared" si="0"/>
        <v>-5.569470236390886E-3</v>
      </c>
      <c r="H70" s="8" t="s">
        <v>13</v>
      </c>
    </row>
    <row r="71" spans="1:8" x14ac:dyDescent="0.2">
      <c r="A71" s="9">
        <v>11</v>
      </c>
      <c r="B71" s="10"/>
      <c r="C71" s="10" t="s">
        <v>135</v>
      </c>
      <c r="D71" s="10" t="s">
        <v>125</v>
      </c>
      <c r="E71" s="11">
        <v>-168750</v>
      </c>
      <c r="F71" s="12">
        <v>-164.76750000000001</v>
      </c>
      <c r="G71" s="13">
        <f t="shared" si="0"/>
        <v>-5.6369317547558737E-3</v>
      </c>
      <c r="H71" s="8" t="s">
        <v>13</v>
      </c>
    </row>
    <row r="72" spans="1:8" x14ac:dyDescent="0.2">
      <c r="A72" s="9">
        <v>12</v>
      </c>
      <c r="B72" s="10"/>
      <c r="C72" s="10" t="s">
        <v>136</v>
      </c>
      <c r="D72" s="10" t="s">
        <v>125</v>
      </c>
      <c r="E72" s="11">
        <v>-137500</v>
      </c>
      <c r="F72" s="12">
        <v>-193.13249999999999</v>
      </c>
      <c r="G72" s="13">
        <f t="shared" si="0"/>
        <v>-6.6073389602038547E-3</v>
      </c>
      <c r="H72" s="8" t="s">
        <v>13</v>
      </c>
    </row>
    <row r="73" spans="1:8" x14ac:dyDescent="0.2">
      <c r="A73" s="9">
        <v>13</v>
      </c>
      <c r="B73" s="10"/>
      <c r="C73" s="10" t="s">
        <v>137</v>
      </c>
      <c r="D73" s="10" t="s">
        <v>125</v>
      </c>
      <c r="E73" s="11">
        <v>-102600</v>
      </c>
      <c r="F73" s="12">
        <v>-202.39902000000001</v>
      </c>
      <c r="G73" s="13">
        <f t="shared" si="0"/>
        <v>-6.9243598584033204E-3</v>
      </c>
      <c r="H73" s="8" t="s">
        <v>13</v>
      </c>
    </row>
    <row r="74" spans="1:8" x14ac:dyDescent="0.2">
      <c r="A74" s="9">
        <v>14</v>
      </c>
      <c r="B74" s="10"/>
      <c r="C74" s="10" t="s">
        <v>138</v>
      </c>
      <c r="D74" s="10" t="s">
        <v>125</v>
      </c>
      <c r="E74" s="11">
        <v>-216000</v>
      </c>
      <c r="F74" s="12">
        <v>-216.99359999999999</v>
      </c>
      <c r="G74" s="13">
        <f t="shared" si="0"/>
        <v>-7.4236613071072509E-3</v>
      </c>
      <c r="H74" s="8" t="s">
        <v>13</v>
      </c>
    </row>
    <row r="75" spans="1:8" ht="25.5" x14ac:dyDescent="0.2">
      <c r="A75" s="9">
        <v>15</v>
      </c>
      <c r="B75" s="10"/>
      <c r="C75" s="10" t="s">
        <v>139</v>
      </c>
      <c r="D75" s="10" t="s">
        <v>125</v>
      </c>
      <c r="E75" s="11">
        <v>-12375</v>
      </c>
      <c r="F75" s="12">
        <v>-219.2355</v>
      </c>
      <c r="G75" s="13">
        <f t="shared" si="0"/>
        <v>-7.5003599115103479E-3</v>
      </c>
      <c r="H75" s="8" t="s">
        <v>13</v>
      </c>
    </row>
    <row r="76" spans="1:8" x14ac:dyDescent="0.2">
      <c r="A76" s="9">
        <v>16</v>
      </c>
      <c r="B76" s="10"/>
      <c r="C76" s="10" t="s">
        <v>140</v>
      </c>
      <c r="D76" s="10" t="s">
        <v>125</v>
      </c>
      <c r="E76" s="11">
        <v>-16250</v>
      </c>
      <c r="F76" s="12">
        <v>-253.11</v>
      </c>
      <c r="G76" s="13">
        <f t="shared" si="0"/>
        <v>-8.6592549892804058E-3</v>
      </c>
      <c r="H76" s="8" t="s">
        <v>13</v>
      </c>
    </row>
    <row r="77" spans="1:8" x14ac:dyDescent="0.2">
      <c r="A77" s="9">
        <v>17</v>
      </c>
      <c r="B77" s="10"/>
      <c r="C77" s="10" t="s">
        <v>141</v>
      </c>
      <c r="D77" s="10" t="s">
        <v>125</v>
      </c>
      <c r="E77" s="11">
        <v>-74250</v>
      </c>
      <c r="F77" s="12">
        <v>-286.53075000000001</v>
      </c>
      <c r="G77" s="13">
        <f t="shared" si="0"/>
        <v>-9.8026266307919743E-3</v>
      </c>
      <c r="H77" s="8" t="s">
        <v>13</v>
      </c>
    </row>
    <row r="78" spans="1:8" x14ac:dyDescent="0.2">
      <c r="A78" s="9">
        <v>18</v>
      </c>
      <c r="B78" s="10"/>
      <c r="C78" s="10" t="s">
        <v>142</v>
      </c>
      <c r="D78" s="10" t="s">
        <v>125</v>
      </c>
      <c r="E78" s="11">
        <v>-14000</v>
      </c>
      <c r="F78" s="12">
        <v>-310.17</v>
      </c>
      <c r="G78" s="13">
        <f t="shared" si="0"/>
        <v>-1.0611359172000723E-2</v>
      </c>
      <c r="H78" s="8" t="s">
        <v>13</v>
      </c>
    </row>
    <row r="79" spans="1:8" x14ac:dyDescent="0.2">
      <c r="A79" s="9">
        <v>19</v>
      </c>
      <c r="B79" s="10"/>
      <c r="C79" s="10" t="s">
        <v>143</v>
      </c>
      <c r="D79" s="10" t="s">
        <v>125</v>
      </c>
      <c r="E79" s="11">
        <v>-52800</v>
      </c>
      <c r="F79" s="12">
        <v>-341.14080000000001</v>
      </c>
      <c r="G79" s="13">
        <f t="shared" si="0"/>
        <v>-1.1670914521145387E-2</v>
      </c>
      <c r="H79" s="8" t="s">
        <v>13</v>
      </c>
    </row>
    <row r="80" spans="1:8" x14ac:dyDescent="0.2">
      <c r="A80" s="9">
        <v>20</v>
      </c>
      <c r="B80" s="10"/>
      <c r="C80" s="10" t="s">
        <v>144</v>
      </c>
      <c r="D80" s="10" t="s">
        <v>125</v>
      </c>
      <c r="E80" s="11">
        <v>-435750</v>
      </c>
      <c r="F80" s="12">
        <v>-346.98772500000001</v>
      </c>
      <c r="G80" s="13">
        <f t="shared" si="0"/>
        <v>-1.1870946185157865E-2</v>
      </c>
      <c r="H80" s="8" t="s">
        <v>13</v>
      </c>
    </row>
    <row r="81" spans="1:8" x14ac:dyDescent="0.2">
      <c r="A81" s="9">
        <v>21</v>
      </c>
      <c r="B81" s="10"/>
      <c r="C81" s="10" t="s">
        <v>145</v>
      </c>
      <c r="D81" s="10" t="s">
        <v>125</v>
      </c>
      <c r="E81" s="11">
        <v>-157950</v>
      </c>
      <c r="F81" s="12">
        <v>-395.63315999999998</v>
      </c>
      <c r="G81" s="13">
        <f t="shared" si="0"/>
        <v>-1.3535176068329076E-2</v>
      </c>
      <c r="H81" s="8" t="s">
        <v>13</v>
      </c>
    </row>
    <row r="82" spans="1:8" x14ac:dyDescent="0.2">
      <c r="A82" s="9">
        <v>22</v>
      </c>
      <c r="B82" s="10"/>
      <c r="C82" s="10" t="s">
        <v>146</v>
      </c>
      <c r="D82" s="10" t="s">
        <v>125</v>
      </c>
      <c r="E82" s="11">
        <v>-22800</v>
      </c>
      <c r="F82" s="12">
        <v>-426.08640000000003</v>
      </c>
      <c r="G82" s="13">
        <f t="shared" si="0"/>
        <v>-1.4577024949881579E-2</v>
      </c>
      <c r="H82" s="8" t="s">
        <v>13</v>
      </c>
    </row>
    <row r="83" spans="1:8" x14ac:dyDescent="0.2">
      <c r="A83" s="9">
        <v>23</v>
      </c>
      <c r="B83" s="10"/>
      <c r="C83" s="10" t="s">
        <v>147</v>
      </c>
      <c r="D83" s="10" t="s">
        <v>125</v>
      </c>
      <c r="E83" s="11">
        <v>-12600</v>
      </c>
      <c r="F83" s="12">
        <v>-427.94639999999998</v>
      </c>
      <c r="G83" s="13">
        <f t="shared" si="0"/>
        <v>-1.4640658209255216E-2</v>
      </c>
      <c r="H83" s="8" t="s">
        <v>13</v>
      </c>
    </row>
    <row r="84" spans="1:8" ht="25.5" x14ac:dyDescent="0.2">
      <c r="A84" s="9">
        <v>24</v>
      </c>
      <c r="B84" s="10"/>
      <c r="C84" s="10" t="s">
        <v>148</v>
      </c>
      <c r="D84" s="10" t="s">
        <v>125</v>
      </c>
      <c r="E84" s="11">
        <v>-58000</v>
      </c>
      <c r="F84" s="12">
        <v>-458.983</v>
      </c>
      <c r="G84" s="13">
        <f t="shared" si="0"/>
        <v>-1.5702464670478797E-2</v>
      </c>
      <c r="H84" s="8" t="s">
        <v>13</v>
      </c>
    </row>
    <row r="85" spans="1:8" x14ac:dyDescent="0.2">
      <c r="A85" s="9">
        <v>25</v>
      </c>
      <c r="B85" s="10"/>
      <c r="C85" s="10" t="s">
        <v>149</v>
      </c>
      <c r="D85" s="10" t="s">
        <v>125</v>
      </c>
      <c r="E85" s="11">
        <v>-32000</v>
      </c>
      <c r="F85" s="12">
        <v>-481.47199999999998</v>
      </c>
      <c r="G85" s="13">
        <f t="shared" si="0"/>
        <v>-1.6471845514593714E-2</v>
      </c>
      <c r="H85" s="8" t="s">
        <v>13</v>
      </c>
    </row>
    <row r="86" spans="1:8" x14ac:dyDescent="0.2">
      <c r="A86" s="9">
        <v>26</v>
      </c>
      <c r="B86" s="10"/>
      <c r="C86" s="10" t="s">
        <v>150</v>
      </c>
      <c r="D86" s="10" t="s">
        <v>125</v>
      </c>
      <c r="E86" s="11">
        <v>-81200</v>
      </c>
      <c r="F86" s="12">
        <v>-508.51499999999999</v>
      </c>
      <c r="G86" s="13">
        <f t="shared" si="0"/>
        <v>-1.7397025209884735E-2</v>
      </c>
      <c r="H86" s="8" t="s">
        <v>13</v>
      </c>
    </row>
    <row r="87" spans="1:8" x14ac:dyDescent="0.2">
      <c r="A87" s="9">
        <v>27</v>
      </c>
      <c r="B87" s="10"/>
      <c r="C87" s="10" t="s">
        <v>151</v>
      </c>
      <c r="D87" s="10" t="s">
        <v>125</v>
      </c>
      <c r="E87" s="11">
        <v>-85800</v>
      </c>
      <c r="F87" s="12">
        <v>-580.65150000000006</v>
      </c>
      <c r="G87" s="13">
        <f t="shared" si="0"/>
        <v>-1.9864918013544116E-2</v>
      </c>
      <c r="H87" s="8" t="s">
        <v>13</v>
      </c>
    </row>
    <row r="88" spans="1:8" ht="25.5" x14ac:dyDescent="0.2">
      <c r="A88" s="9">
        <v>28</v>
      </c>
      <c r="B88" s="10"/>
      <c r="C88" s="10" t="s">
        <v>152</v>
      </c>
      <c r="D88" s="10" t="s">
        <v>125</v>
      </c>
      <c r="E88" s="11">
        <v>-32900</v>
      </c>
      <c r="F88" s="12">
        <v>-604.30719999999997</v>
      </c>
      <c r="G88" s="13">
        <f t="shared" si="0"/>
        <v>-2.0674213332772595E-2</v>
      </c>
      <c r="H88" s="8" t="s">
        <v>13</v>
      </c>
    </row>
    <row r="89" spans="1:8" x14ac:dyDescent="0.2">
      <c r="A89" s="9">
        <v>29</v>
      </c>
      <c r="B89" s="10"/>
      <c r="C89" s="10" t="s">
        <v>153</v>
      </c>
      <c r="D89" s="10" t="s">
        <v>125</v>
      </c>
      <c r="E89" s="11">
        <v>-18750</v>
      </c>
      <c r="F89" s="12">
        <v>-628.06875000000002</v>
      </c>
      <c r="G89" s="13">
        <f t="shared" si="0"/>
        <v>-2.1487129931842312E-2</v>
      </c>
      <c r="H89" s="8" t="s">
        <v>13</v>
      </c>
    </row>
    <row r="90" spans="1:8" x14ac:dyDescent="0.2">
      <c r="A90" s="9">
        <v>30</v>
      </c>
      <c r="B90" s="10"/>
      <c r="C90" s="10" t="s">
        <v>154</v>
      </c>
      <c r="D90" s="10" t="s">
        <v>125</v>
      </c>
      <c r="E90" s="11">
        <v>-27600</v>
      </c>
      <c r="F90" s="12">
        <v>-637.06320000000005</v>
      </c>
      <c r="G90" s="13">
        <f t="shared" si="0"/>
        <v>-2.1794842926344045E-2</v>
      </c>
      <c r="H90" s="8" t="s">
        <v>13</v>
      </c>
    </row>
    <row r="91" spans="1:8" x14ac:dyDescent="0.2">
      <c r="A91" s="9">
        <v>31</v>
      </c>
      <c r="B91" s="10"/>
      <c r="C91" s="10" t="s">
        <v>155</v>
      </c>
      <c r="D91" s="10" t="s">
        <v>125</v>
      </c>
      <c r="E91" s="11">
        <v>-7625</v>
      </c>
      <c r="F91" s="12">
        <v>-660.55375000000004</v>
      </c>
      <c r="G91" s="13">
        <f t="shared" si="0"/>
        <v>-2.2598488227945881E-2</v>
      </c>
      <c r="H91" s="8" t="s">
        <v>13</v>
      </c>
    </row>
    <row r="92" spans="1:8" ht="25.5" x14ac:dyDescent="0.2">
      <c r="A92" s="9">
        <v>32</v>
      </c>
      <c r="B92" s="10"/>
      <c r="C92" s="10" t="s">
        <v>156</v>
      </c>
      <c r="D92" s="10" t="s">
        <v>125</v>
      </c>
      <c r="E92" s="11">
        <v>-19950</v>
      </c>
      <c r="F92" s="12">
        <v>-689.43209999999999</v>
      </c>
      <c r="G92" s="13">
        <f t="shared" si="0"/>
        <v>-2.3586457870866686E-2</v>
      </c>
      <c r="H92" s="8" t="s">
        <v>13</v>
      </c>
    </row>
    <row r="93" spans="1:8" x14ac:dyDescent="0.2">
      <c r="A93" s="9">
        <v>33</v>
      </c>
      <c r="B93" s="10"/>
      <c r="C93" s="10" t="s">
        <v>157</v>
      </c>
      <c r="D93" s="10" t="s">
        <v>125</v>
      </c>
      <c r="E93" s="11">
        <v>-144000</v>
      </c>
      <c r="F93" s="12">
        <v>-780.84</v>
      </c>
      <c r="G93" s="13">
        <f t="shared" si="0"/>
        <v>-2.6713652822210547E-2</v>
      </c>
      <c r="H93" s="8" t="s">
        <v>13</v>
      </c>
    </row>
    <row r="94" spans="1:8" x14ac:dyDescent="0.2">
      <c r="A94" s="9">
        <v>34</v>
      </c>
      <c r="B94" s="10"/>
      <c r="C94" s="10" t="s">
        <v>158</v>
      </c>
      <c r="D94" s="10" t="s">
        <v>125</v>
      </c>
      <c r="E94" s="11">
        <v>-228800</v>
      </c>
      <c r="F94" s="12">
        <v>-975.37440000000004</v>
      </c>
      <c r="G94" s="13">
        <f t="shared" si="0"/>
        <v>-3.3368952785810049E-2</v>
      </c>
      <c r="H94" s="8" t="s">
        <v>13</v>
      </c>
    </row>
    <row r="95" spans="1:8" x14ac:dyDescent="0.2">
      <c r="A95" s="9">
        <v>35</v>
      </c>
      <c r="B95" s="10"/>
      <c r="C95" s="10" t="s">
        <v>159</v>
      </c>
      <c r="D95" s="10" t="s">
        <v>125</v>
      </c>
      <c r="E95" s="11">
        <v>-285600</v>
      </c>
      <c r="F95" s="12">
        <v>-1165.248</v>
      </c>
      <c r="G95" s="13">
        <f t="shared" si="0"/>
        <v>-3.9864800117533933E-2</v>
      </c>
      <c r="H95" s="8" t="s">
        <v>13</v>
      </c>
    </row>
    <row r="96" spans="1:8" x14ac:dyDescent="0.2">
      <c r="A96" s="9">
        <v>36</v>
      </c>
      <c r="B96" s="10"/>
      <c r="C96" s="10" t="s">
        <v>160</v>
      </c>
      <c r="D96" s="10" t="s">
        <v>125</v>
      </c>
      <c r="E96" s="11">
        <v>-121250</v>
      </c>
      <c r="F96" s="12">
        <v>-1443.7237500000001</v>
      </c>
      <c r="G96" s="13">
        <f t="shared" si="0"/>
        <v>-4.9391853681522331E-2</v>
      </c>
      <c r="H96" s="8" t="s">
        <v>13</v>
      </c>
    </row>
    <row r="97" spans="1:8" x14ac:dyDescent="0.2">
      <c r="A97" s="9">
        <v>37</v>
      </c>
      <c r="B97" s="10"/>
      <c r="C97" s="10" t="s">
        <v>161</v>
      </c>
      <c r="D97" s="10" t="s">
        <v>125</v>
      </c>
      <c r="E97" s="11">
        <v>-155400</v>
      </c>
      <c r="F97" s="12">
        <v>-2227.5036</v>
      </c>
      <c r="G97" s="13">
        <f t="shared" si="0"/>
        <v>-7.6206082975544473E-2</v>
      </c>
      <c r="H97" s="8" t="s">
        <v>13</v>
      </c>
    </row>
    <row r="98" spans="1:8" x14ac:dyDescent="0.2">
      <c r="A98" s="9">
        <v>38</v>
      </c>
      <c r="B98" s="10"/>
      <c r="C98" s="10" t="s">
        <v>162</v>
      </c>
      <c r="D98" s="10" t="s">
        <v>125</v>
      </c>
      <c r="E98" s="11">
        <v>-190000</v>
      </c>
      <c r="F98" s="12">
        <v>-2677.67</v>
      </c>
      <c r="G98" s="13">
        <f t="shared" si="0"/>
        <v>-9.1606919154306285E-2</v>
      </c>
      <c r="H98" s="8" t="s">
        <v>13</v>
      </c>
    </row>
    <row r="99" spans="1:8" x14ac:dyDescent="0.2">
      <c r="A99" s="6"/>
      <c r="B99" s="6"/>
      <c r="C99" s="7" t="s">
        <v>117</v>
      </c>
      <c r="D99" s="6"/>
      <c r="E99" s="6" t="s">
        <v>13</v>
      </c>
      <c r="F99" s="19">
        <v>-19077.227804999999</v>
      </c>
      <c r="G99" s="20">
        <v>-0.65265927999999995</v>
      </c>
      <c r="H99" s="8" t="s">
        <v>13</v>
      </c>
    </row>
    <row r="100" spans="1:8" x14ac:dyDescent="0.2">
      <c r="A100" s="6"/>
      <c r="B100" s="6"/>
      <c r="C100" s="21"/>
      <c r="D100" s="6"/>
      <c r="E100" s="6"/>
      <c r="F100" s="22"/>
      <c r="G100" s="22"/>
      <c r="H100" s="8" t="s">
        <v>13</v>
      </c>
    </row>
    <row r="101" spans="1:8" x14ac:dyDescent="0.2">
      <c r="A101" s="6"/>
      <c r="B101" s="6"/>
      <c r="C101" s="7" t="s">
        <v>163</v>
      </c>
      <c r="D101" s="6"/>
      <c r="E101" s="6"/>
      <c r="F101" s="19">
        <f>F46</f>
        <v>19018.068169999995</v>
      </c>
      <c r="G101" s="20">
        <f>G46</f>
        <v>0.65063497999999986</v>
      </c>
      <c r="H101" s="8" t="s">
        <v>13</v>
      </c>
    </row>
    <row r="102" spans="1:8" x14ac:dyDescent="0.2">
      <c r="A102" s="6"/>
      <c r="B102" s="6"/>
      <c r="C102" s="21"/>
      <c r="D102" s="6"/>
      <c r="E102" s="6"/>
      <c r="F102" s="22"/>
      <c r="G102" s="22"/>
      <c r="H102" s="8" t="s">
        <v>13</v>
      </c>
    </row>
    <row r="103" spans="1:8" x14ac:dyDescent="0.2">
      <c r="A103" s="6"/>
      <c r="B103" s="6"/>
      <c r="C103" s="7" t="s">
        <v>164</v>
      </c>
      <c r="D103" s="6"/>
      <c r="E103" s="6"/>
      <c r="F103" s="22"/>
      <c r="G103" s="22"/>
      <c r="H103" s="8" t="s">
        <v>13</v>
      </c>
    </row>
    <row r="104" spans="1:8" x14ac:dyDescent="0.2">
      <c r="A104" s="6"/>
      <c r="B104" s="6"/>
      <c r="C104" s="7" t="s">
        <v>14</v>
      </c>
      <c r="D104" s="6"/>
      <c r="E104" s="6"/>
      <c r="F104" s="22"/>
      <c r="G104" s="22"/>
      <c r="H104" s="8" t="s">
        <v>13</v>
      </c>
    </row>
    <row r="105" spans="1:8" x14ac:dyDescent="0.2">
      <c r="A105" s="6"/>
      <c r="B105" s="6"/>
      <c r="C105" s="7" t="s">
        <v>117</v>
      </c>
      <c r="D105" s="6"/>
      <c r="E105" s="6" t="s">
        <v>13</v>
      </c>
      <c r="F105" s="23" t="s">
        <v>119</v>
      </c>
      <c r="G105" s="20">
        <v>0</v>
      </c>
      <c r="H105" s="8" t="s">
        <v>13</v>
      </c>
    </row>
    <row r="106" spans="1:8" x14ac:dyDescent="0.2">
      <c r="A106" s="6"/>
      <c r="B106" s="6"/>
      <c r="C106" s="21"/>
      <c r="D106" s="6"/>
      <c r="E106" s="6"/>
      <c r="F106" s="22"/>
      <c r="G106" s="22"/>
      <c r="H106" s="8" t="s">
        <v>13</v>
      </c>
    </row>
    <row r="107" spans="1:8" x14ac:dyDescent="0.2">
      <c r="A107" s="6"/>
      <c r="B107" s="6"/>
      <c r="C107" s="7" t="s">
        <v>165</v>
      </c>
      <c r="D107" s="6"/>
      <c r="E107" s="6"/>
      <c r="F107" s="6"/>
      <c r="G107" s="6"/>
      <c r="H107" s="8" t="s">
        <v>13</v>
      </c>
    </row>
    <row r="108" spans="1:8" x14ac:dyDescent="0.2">
      <c r="A108" s="6"/>
      <c r="B108" s="6"/>
      <c r="C108" s="7" t="s">
        <v>117</v>
      </c>
      <c r="D108" s="6"/>
      <c r="E108" s="6" t="s">
        <v>13</v>
      </c>
      <c r="F108" s="23" t="s">
        <v>119</v>
      </c>
      <c r="G108" s="20">
        <v>0</v>
      </c>
      <c r="H108" s="8" t="s">
        <v>13</v>
      </c>
    </row>
    <row r="109" spans="1:8" x14ac:dyDescent="0.2">
      <c r="A109" s="6"/>
      <c r="B109" s="6"/>
      <c r="C109" s="21"/>
      <c r="D109" s="6"/>
      <c r="E109" s="6"/>
      <c r="F109" s="22"/>
      <c r="G109" s="22"/>
      <c r="H109" s="8" t="s">
        <v>13</v>
      </c>
    </row>
    <row r="110" spans="1:8" x14ac:dyDescent="0.2">
      <c r="A110" s="6"/>
      <c r="B110" s="6"/>
      <c r="C110" s="7" t="s">
        <v>166</v>
      </c>
      <c r="D110" s="6"/>
      <c r="E110" s="6"/>
      <c r="F110" s="6"/>
      <c r="G110" s="6"/>
      <c r="H110" s="8" t="s">
        <v>13</v>
      </c>
    </row>
    <row r="111" spans="1:8" ht="25.5" x14ac:dyDescent="0.2">
      <c r="A111" s="9">
        <v>1</v>
      </c>
      <c r="B111" s="10" t="s">
        <v>167</v>
      </c>
      <c r="C111" s="10" t="s">
        <v>168</v>
      </c>
      <c r="D111" s="10" t="s">
        <v>169</v>
      </c>
      <c r="E111" s="11">
        <v>1000000</v>
      </c>
      <c r="F111" s="12">
        <v>1026.8</v>
      </c>
      <c r="G111" s="13">
        <v>3.5128300000000001E-2</v>
      </c>
      <c r="H111" s="8">
        <v>6.1093999999999999</v>
      </c>
    </row>
    <row r="112" spans="1:8" x14ac:dyDescent="0.2">
      <c r="A112" s="6"/>
      <c r="B112" s="6"/>
      <c r="C112" s="7" t="s">
        <v>117</v>
      </c>
      <c r="D112" s="6"/>
      <c r="E112" s="6" t="s">
        <v>13</v>
      </c>
      <c r="F112" s="19">
        <v>1026.8</v>
      </c>
      <c r="G112" s="20">
        <v>3.5128300000000001E-2</v>
      </c>
      <c r="H112" s="8" t="s">
        <v>13</v>
      </c>
    </row>
    <row r="113" spans="1:8" x14ac:dyDescent="0.2">
      <c r="A113" s="6"/>
      <c r="B113" s="6"/>
      <c r="C113" s="21"/>
      <c r="D113" s="6"/>
      <c r="E113" s="6"/>
      <c r="F113" s="22"/>
      <c r="G113" s="22"/>
      <c r="H113" s="8" t="s">
        <v>13</v>
      </c>
    </row>
    <row r="114" spans="1:8" x14ac:dyDescent="0.2">
      <c r="A114" s="6"/>
      <c r="B114" s="6"/>
      <c r="C114" s="7" t="s">
        <v>170</v>
      </c>
      <c r="D114" s="6"/>
      <c r="E114" s="6"/>
      <c r="F114" s="22"/>
      <c r="G114" s="22"/>
      <c r="H114" s="8" t="s">
        <v>13</v>
      </c>
    </row>
    <row r="115" spans="1:8" x14ac:dyDescent="0.2">
      <c r="A115" s="6"/>
      <c r="B115" s="6"/>
      <c r="C115" s="7" t="s">
        <v>117</v>
      </c>
      <c r="D115" s="6"/>
      <c r="E115" s="6" t="s">
        <v>13</v>
      </c>
      <c r="F115" s="23" t="s">
        <v>119</v>
      </c>
      <c r="G115" s="20">
        <v>0</v>
      </c>
      <c r="H115" s="8" t="s">
        <v>13</v>
      </c>
    </row>
    <row r="116" spans="1:8" x14ac:dyDescent="0.2">
      <c r="A116" s="6"/>
      <c r="B116" s="6"/>
      <c r="C116" s="21"/>
      <c r="D116" s="6"/>
      <c r="E116" s="6"/>
      <c r="F116" s="22"/>
      <c r="G116" s="22"/>
      <c r="H116" s="8" t="s">
        <v>13</v>
      </c>
    </row>
    <row r="117" spans="1:8" x14ac:dyDescent="0.2">
      <c r="A117" s="6"/>
      <c r="B117" s="6"/>
      <c r="C117" s="7" t="s">
        <v>171</v>
      </c>
      <c r="D117" s="6"/>
      <c r="E117" s="6"/>
      <c r="F117" s="19">
        <v>1026.8</v>
      </c>
      <c r="G117" s="20">
        <v>3.5128300000000001E-2</v>
      </c>
      <c r="H117" s="8" t="s">
        <v>13</v>
      </c>
    </row>
    <row r="118" spans="1:8" x14ac:dyDescent="0.2">
      <c r="A118" s="6"/>
      <c r="B118" s="6"/>
      <c r="C118" s="21"/>
      <c r="D118" s="6"/>
      <c r="E118" s="6"/>
      <c r="F118" s="22"/>
      <c r="G118" s="22"/>
      <c r="H118" s="8" t="s">
        <v>13</v>
      </c>
    </row>
    <row r="119" spans="1:8" x14ac:dyDescent="0.2">
      <c r="A119" s="6"/>
      <c r="B119" s="6"/>
      <c r="C119" s="7" t="s">
        <v>172</v>
      </c>
      <c r="D119" s="6"/>
      <c r="E119" s="6"/>
      <c r="F119" s="22"/>
      <c r="G119" s="22"/>
      <c r="H119" s="8" t="s">
        <v>13</v>
      </c>
    </row>
    <row r="120" spans="1:8" x14ac:dyDescent="0.2">
      <c r="A120" s="6"/>
      <c r="B120" s="6"/>
      <c r="C120" s="7" t="s">
        <v>173</v>
      </c>
      <c r="D120" s="6"/>
      <c r="E120" s="6"/>
      <c r="F120" s="22"/>
      <c r="G120" s="22"/>
      <c r="H120" s="8" t="s">
        <v>13</v>
      </c>
    </row>
    <row r="121" spans="1:8" x14ac:dyDescent="0.2">
      <c r="A121" s="6"/>
      <c r="B121" s="6"/>
      <c r="C121" s="7" t="s">
        <v>117</v>
      </c>
      <c r="D121" s="6"/>
      <c r="E121" s="6" t="s">
        <v>13</v>
      </c>
      <c r="F121" s="23" t="s">
        <v>119</v>
      </c>
      <c r="G121" s="20">
        <v>0</v>
      </c>
      <c r="H121" s="8" t="s">
        <v>13</v>
      </c>
    </row>
    <row r="122" spans="1:8" x14ac:dyDescent="0.2">
      <c r="A122" s="6"/>
      <c r="B122" s="6"/>
      <c r="C122" s="21"/>
      <c r="D122" s="6"/>
      <c r="E122" s="6"/>
      <c r="F122" s="22"/>
      <c r="G122" s="22"/>
      <c r="H122" s="8" t="s">
        <v>13</v>
      </c>
    </row>
    <row r="123" spans="1:8" x14ac:dyDescent="0.2">
      <c r="A123" s="6"/>
      <c r="B123" s="6"/>
      <c r="C123" s="7" t="s">
        <v>174</v>
      </c>
      <c r="D123" s="6"/>
      <c r="E123" s="6"/>
      <c r="F123" s="22"/>
      <c r="G123" s="22"/>
      <c r="H123" s="8" t="s">
        <v>13</v>
      </c>
    </row>
    <row r="124" spans="1:8" x14ac:dyDescent="0.2">
      <c r="A124" s="6"/>
      <c r="B124" s="6"/>
      <c r="C124" s="7" t="s">
        <v>117</v>
      </c>
      <c r="D124" s="6"/>
      <c r="E124" s="6" t="s">
        <v>13</v>
      </c>
      <c r="F124" s="23" t="s">
        <v>119</v>
      </c>
      <c r="G124" s="20">
        <v>0</v>
      </c>
      <c r="H124" s="8" t="s">
        <v>13</v>
      </c>
    </row>
    <row r="125" spans="1:8" x14ac:dyDescent="0.2">
      <c r="A125" s="6"/>
      <c r="B125" s="6"/>
      <c r="C125" s="21"/>
      <c r="D125" s="6"/>
      <c r="E125" s="6"/>
      <c r="F125" s="22"/>
      <c r="G125" s="22"/>
      <c r="H125" s="8" t="s">
        <v>13</v>
      </c>
    </row>
    <row r="126" spans="1:8" x14ac:dyDescent="0.2">
      <c r="A126" s="6"/>
      <c r="B126" s="6"/>
      <c r="C126" s="7" t="s">
        <v>175</v>
      </c>
      <c r="D126" s="6"/>
      <c r="E126" s="6"/>
      <c r="F126" s="22"/>
      <c r="G126" s="22"/>
      <c r="H126" s="8" t="s">
        <v>13</v>
      </c>
    </row>
    <row r="127" spans="1:8" x14ac:dyDescent="0.2">
      <c r="A127" s="9">
        <v>1</v>
      </c>
      <c r="B127" s="10" t="s">
        <v>176</v>
      </c>
      <c r="C127" s="10" t="s">
        <v>177</v>
      </c>
      <c r="D127" s="10" t="s">
        <v>169</v>
      </c>
      <c r="E127" s="11">
        <v>1000000</v>
      </c>
      <c r="F127" s="12">
        <v>966.05899999999997</v>
      </c>
      <c r="G127" s="13">
        <v>3.3050259999999998E-2</v>
      </c>
      <c r="H127" s="8">
        <v>5.9096000000000002</v>
      </c>
    </row>
    <row r="128" spans="1:8" x14ac:dyDescent="0.2">
      <c r="A128" s="9">
        <v>2</v>
      </c>
      <c r="B128" s="10" t="s">
        <v>178</v>
      </c>
      <c r="C128" s="10" t="s">
        <v>179</v>
      </c>
      <c r="D128" s="10" t="s">
        <v>169</v>
      </c>
      <c r="E128" s="11">
        <v>500000</v>
      </c>
      <c r="F128" s="12">
        <v>489.44549999999998</v>
      </c>
      <c r="G128" s="13">
        <v>1.674463E-2</v>
      </c>
      <c r="H128" s="8">
        <v>5.9180999999999999</v>
      </c>
    </row>
    <row r="129" spans="1:8" x14ac:dyDescent="0.2">
      <c r="A129" s="9">
        <v>3</v>
      </c>
      <c r="B129" s="10" t="s">
        <v>180</v>
      </c>
      <c r="C129" s="10" t="s">
        <v>181</v>
      </c>
      <c r="D129" s="10" t="s">
        <v>169</v>
      </c>
      <c r="E129" s="11">
        <v>500000</v>
      </c>
      <c r="F129" s="12">
        <v>479.3725</v>
      </c>
      <c r="G129" s="13">
        <v>1.6400020000000001E-2</v>
      </c>
      <c r="H129" s="8">
        <v>5.9046000000000003</v>
      </c>
    </row>
    <row r="130" spans="1:8" x14ac:dyDescent="0.2">
      <c r="A130" s="6"/>
      <c r="B130" s="6"/>
      <c r="C130" s="7" t="s">
        <v>117</v>
      </c>
      <c r="D130" s="6"/>
      <c r="E130" s="6" t="s">
        <v>13</v>
      </c>
      <c r="F130" s="19">
        <v>1934.877</v>
      </c>
      <c r="G130" s="20">
        <v>6.6194909999999996E-2</v>
      </c>
      <c r="H130" s="8" t="s">
        <v>13</v>
      </c>
    </row>
    <row r="131" spans="1:8" x14ac:dyDescent="0.2">
      <c r="A131" s="6"/>
      <c r="B131" s="6"/>
      <c r="C131" s="21"/>
      <c r="D131" s="6"/>
      <c r="E131" s="6"/>
      <c r="F131" s="22"/>
      <c r="G131" s="22"/>
      <c r="H131" s="8" t="s">
        <v>13</v>
      </c>
    </row>
    <row r="132" spans="1:8" x14ac:dyDescent="0.2">
      <c r="A132" s="6"/>
      <c r="B132" s="6"/>
      <c r="C132" s="7" t="s">
        <v>182</v>
      </c>
      <c r="D132" s="6"/>
      <c r="E132" s="6"/>
      <c r="F132" s="22"/>
      <c r="G132" s="22"/>
      <c r="H132" s="8" t="s">
        <v>13</v>
      </c>
    </row>
    <row r="133" spans="1:8" x14ac:dyDescent="0.2">
      <c r="A133" s="9">
        <v>1</v>
      </c>
      <c r="B133" s="10"/>
      <c r="C133" s="10" t="s">
        <v>183</v>
      </c>
      <c r="D133" s="10"/>
      <c r="E133" s="24"/>
      <c r="F133" s="12">
        <v>2214.036652494</v>
      </c>
      <c r="G133" s="13">
        <v>7.5745359999999998E-2</v>
      </c>
      <c r="H133" s="8">
        <v>5.95</v>
      </c>
    </row>
    <row r="134" spans="1:8" x14ac:dyDescent="0.2">
      <c r="A134" s="6"/>
      <c r="B134" s="6"/>
      <c r="C134" s="7" t="s">
        <v>117</v>
      </c>
      <c r="D134" s="6"/>
      <c r="E134" s="6" t="s">
        <v>13</v>
      </c>
      <c r="F134" s="19">
        <v>2214.036652494</v>
      </c>
      <c r="G134" s="20">
        <v>7.5745359999999998E-2</v>
      </c>
      <c r="H134" s="8" t="s">
        <v>13</v>
      </c>
    </row>
    <row r="135" spans="1:8" x14ac:dyDescent="0.2">
      <c r="A135" s="6"/>
      <c r="B135" s="6"/>
      <c r="C135" s="21"/>
      <c r="D135" s="6"/>
      <c r="E135" s="6"/>
      <c r="F135" s="22"/>
      <c r="G135" s="22"/>
      <c r="H135" s="8" t="s">
        <v>13</v>
      </c>
    </row>
    <row r="136" spans="1:8" x14ac:dyDescent="0.2">
      <c r="A136" s="6"/>
      <c r="B136" s="6"/>
      <c r="C136" s="7" t="s">
        <v>184</v>
      </c>
      <c r="D136" s="6"/>
      <c r="E136" s="6"/>
      <c r="F136" s="19">
        <v>4148.9136524940004</v>
      </c>
      <c r="G136" s="20">
        <v>0.14194027000000001</v>
      </c>
      <c r="H136" s="8" t="s">
        <v>13</v>
      </c>
    </row>
    <row r="137" spans="1:8" x14ac:dyDescent="0.2">
      <c r="A137" s="6"/>
      <c r="B137" s="6"/>
      <c r="C137" s="22"/>
      <c r="D137" s="6"/>
      <c r="E137" s="6"/>
      <c r="F137" s="6"/>
      <c r="G137" s="6"/>
      <c r="H137" s="8" t="s">
        <v>13</v>
      </c>
    </row>
    <row r="138" spans="1:8" x14ac:dyDescent="0.2">
      <c r="A138" s="6"/>
      <c r="B138" s="6"/>
      <c r="C138" s="7" t="s">
        <v>185</v>
      </c>
      <c r="D138" s="6"/>
      <c r="E138" s="6"/>
      <c r="F138" s="6"/>
      <c r="G138" s="6"/>
      <c r="H138" s="8" t="s">
        <v>13</v>
      </c>
    </row>
    <row r="139" spans="1:8" x14ac:dyDescent="0.2">
      <c r="A139" s="6"/>
      <c r="B139" s="6"/>
      <c r="C139" s="7" t="s">
        <v>186</v>
      </c>
      <c r="D139" s="6"/>
      <c r="E139" s="6"/>
      <c r="F139" s="6"/>
      <c r="G139" s="6"/>
      <c r="H139" s="8" t="s">
        <v>13</v>
      </c>
    </row>
    <row r="140" spans="1:8" ht="25.5" x14ac:dyDescent="0.2">
      <c r="A140" s="9">
        <v>1</v>
      </c>
      <c r="B140" s="10" t="s">
        <v>187</v>
      </c>
      <c r="C140" s="10" t="s">
        <v>188</v>
      </c>
      <c r="D140" s="10"/>
      <c r="E140" s="25">
        <v>17160716.769699998</v>
      </c>
      <c r="F140" s="12">
        <v>2562.215138734</v>
      </c>
      <c r="G140" s="13">
        <v>8.7657040000000006E-2</v>
      </c>
      <c r="H140" s="8" t="s">
        <v>13</v>
      </c>
    </row>
    <row r="141" spans="1:8" x14ac:dyDescent="0.2">
      <c r="A141" s="9">
        <v>2</v>
      </c>
      <c r="B141" s="10" t="s">
        <v>189</v>
      </c>
      <c r="C141" s="10" t="s">
        <v>190</v>
      </c>
      <c r="D141" s="10"/>
      <c r="E141" s="25">
        <v>109637.875</v>
      </c>
      <c r="F141" s="12">
        <v>2527.5015575550001</v>
      </c>
      <c r="G141" s="13">
        <v>8.6469439999999995E-2</v>
      </c>
      <c r="H141" s="8" t="s">
        <v>13</v>
      </c>
    </row>
    <row r="142" spans="1:8" x14ac:dyDescent="0.2">
      <c r="A142" s="6"/>
      <c r="B142" s="6"/>
      <c r="C142" s="7" t="s">
        <v>117</v>
      </c>
      <c r="D142" s="6"/>
      <c r="E142" s="6" t="s">
        <v>13</v>
      </c>
      <c r="F142" s="19">
        <v>5089.7166962889996</v>
      </c>
      <c r="G142" s="20">
        <v>0.17412648</v>
      </c>
      <c r="H142" s="8" t="s">
        <v>13</v>
      </c>
    </row>
    <row r="143" spans="1:8" x14ac:dyDescent="0.2">
      <c r="A143" s="6"/>
      <c r="B143" s="6"/>
      <c r="C143" s="21"/>
      <c r="D143" s="6"/>
      <c r="E143" s="6"/>
      <c r="F143" s="22"/>
      <c r="G143" s="22"/>
      <c r="H143" s="8" t="s">
        <v>13</v>
      </c>
    </row>
    <row r="144" spans="1:8" x14ac:dyDescent="0.2">
      <c r="A144" s="6"/>
      <c r="B144" s="6"/>
      <c r="C144" s="7" t="s">
        <v>191</v>
      </c>
      <c r="D144" s="6"/>
      <c r="E144" s="6"/>
      <c r="F144" s="6"/>
      <c r="G144" s="6"/>
      <c r="H144" s="8" t="s">
        <v>13</v>
      </c>
    </row>
    <row r="145" spans="1:17" x14ac:dyDescent="0.2">
      <c r="A145" s="6"/>
      <c r="B145" s="6"/>
      <c r="C145" s="7" t="s">
        <v>192</v>
      </c>
      <c r="D145" s="6"/>
      <c r="E145" s="6"/>
      <c r="F145" s="6"/>
      <c r="G145" s="6"/>
      <c r="H145" s="8" t="s">
        <v>13</v>
      </c>
    </row>
    <row r="146" spans="1:17" x14ac:dyDescent="0.2">
      <c r="A146" s="6"/>
      <c r="B146" s="6"/>
      <c r="C146" s="7" t="s">
        <v>117</v>
      </c>
      <c r="D146" s="6"/>
      <c r="E146" s="6" t="s">
        <v>13</v>
      </c>
      <c r="F146" s="23" t="s">
        <v>119</v>
      </c>
      <c r="G146" s="20">
        <v>0</v>
      </c>
      <c r="H146" s="8" t="s">
        <v>13</v>
      </c>
    </row>
    <row r="147" spans="1:17" x14ac:dyDescent="0.2">
      <c r="A147" s="6"/>
      <c r="B147" s="6"/>
      <c r="C147" s="21"/>
      <c r="D147" s="6"/>
      <c r="E147" s="6"/>
      <c r="F147" s="22"/>
      <c r="G147" s="22"/>
      <c r="H147" s="8" t="s">
        <v>13</v>
      </c>
    </row>
    <row r="148" spans="1:17" ht="25.5" x14ac:dyDescent="0.2">
      <c r="A148" s="6"/>
      <c r="B148" s="6"/>
      <c r="C148" s="7" t="s">
        <v>193</v>
      </c>
      <c r="D148" s="6"/>
      <c r="E148" s="6"/>
      <c r="F148" s="22"/>
      <c r="G148" s="22"/>
      <c r="H148" s="8" t="s">
        <v>13</v>
      </c>
    </row>
    <row r="149" spans="1:17" x14ac:dyDescent="0.2">
      <c r="A149" s="6"/>
      <c r="B149" s="6"/>
      <c r="C149" s="7" t="s">
        <v>117</v>
      </c>
      <c r="D149" s="6"/>
      <c r="E149" s="6" t="s">
        <v>13</v>
      </c>
      <c r="F149" s="23" t="s">
        <v>119</v>
      </c>
      <c r="G149" s="20">
        <v>0</v>
      </c>
      <c r="H149" s="8" t="s">
        <v>13</v>
      </c>
    </row>
    <row r="150" spans="1:17" x14ac:dyDescent="0.2">
      <c r="A150" s="6"/>
      <c r="B150" s="6"/>
      <c r="C150" s="21"/>
      <c r="D150" s="6"/>
      <c r="E150" s="6"/>
      <c r="F150" s="22"/>
      <c r="G150" s="22"/>
      <c r="H150" s="8" t="s">
        <v>13</v>
      </c>
    </row>
    <row r="151" spans="1:17" x14ac:dyDescent="0.2">
      <c r="A151" s="24"/>
      <c r="B151" s="10"/>
      <c r="C151" s="10" t="s">
        <v>194</v>
      </c>
      <c r="D151" s="10"/>
      <c r="E151" s="24"/>
      <c r="F151" s="12">
        <v>70.863689699999995</v>
      </c>
      <c r="G151" s="13">
        <v>2.42435E-3</v>
      </c>
      <c r="H151" s="8" t="s">
        <v>13</v>
      </c>
    </row>
    <row r="152" spans="1:17" x14ac:dyDescent="0.2">
      <c r="A152" s="24"/>
      <c r="B152" s="10"/>
      <c r="C152" s="14" t="s">
        <v>195</v>
      </c>
      <c r="D152" s="10"/>
      <c r="E152" s="24"/>
      <c r="F152" s="12">
        <f>18952.87290152+F99</f>
        <v>-124.35490347999803</v>
      </c>
      <c r="G152" s="13">
        <f>F152/F153</f>
        <v>-4.2543590470572323E-3</v>
      </c>
      <c r="H152" s="8" t="s">
        <v>13</v>
      </c>
    </row>
    <row r="153" spans="1:17" x14ac:dyDescent="0.2">
      <c r="A153" s="21"/>
      <c r="B153" s="21"/>
      <c r="C153" s="7" t="s">
        <v>196</v>
      </c>
      <c r="D153" s="22"/>
      <c r="E153" s="22"/>
      <c r="F153" s="19">
        <v>29229.997305002998</v>
      </c>
      <c r="G153" s="26">
        <v>0.99999998000000001</v>
      </c>
      <c r="H153" s="8" t="s">
        <v>13</v>
      </c>
    </row>
    <row r="154" spans="1:17" x14ac:dyDescent="0.2">
      <c r="A154" s="27"/>
      <c r="B154" s="27"/>
      <c r="C154" s="27"/>
      <c r="D154" s="28"/>
      <c r="E154" s="28"/>
      <c r="F154" s="28"/>
      <c r="G154" s="28"/>
    </row>
    <row r="155" spans="1:17" x14ac:dyDescent="0.2">
      <c r="A155" s="29"/>
      <c r="B155" s="30" t="s">
        <v>197</v>
      </c>
      <c r="C155" s="30"/>
      <c r="D155" s="30"/>
      <c r="E155" s="30"/>
      <c r="F155" s="30"/>
      <c r="G155" s="30"/>
      <c r="H155" s="30"/>
      <c r="J155" s="31"/>
    </row>
    <row r="156" spans="1:17" x14ac:dyDescent="0.2">
      <c r="A156" s="29"/>
      <c r="B156" s="30" t="s">
        <v>198</v>
      </c>
      <c r="C156" s="30"/>
      <c r="D156" s="30"/>
      <c r="E156" s="30"/>
      <c r="F156" s="30"/>
      <c r="G156" s="30"/>
      <c r="H156" s="30"/>
      <c r="J156" s="31"/>
    </row>
    <row r="157" spans="1:17" x14ac:dyDescent="0.2">
      <c r="A157" s="29"/>
      <c r="B157" s="30" t="s">
        <v>199</v>
      </c>
      <c r="C157" s="30"/>
      <c r="D157" s="30"/>
      <c r="E157" s="30"/>
      <c r="F157" s="30"/>
      <c r="G157" s="30"/>
      <c r="H157" s="30"/>
      <c r="J157" s="31"/>
    </row>
    <row r="158" spans="1:17" s="34" customFormat="1" ht="66.75" customHeight="1" x14ac:dyDescent="0.25">
      <c r="A158" s="32"/>
      <c r="B158" s="33" t="s">
        <v>200</v>
      </c>
      <c r="C158" s="33"/>
      <c r="D158" s="33"/>
      <c r="E158" s="33"/>
      <c r="F158" s="33"/>
      <c r="G158" s="33"/>
      <c r="H158" s="33"/>
      <c r="I158"/>
      <c r="J158" s="31"/>
      <c r="K158"/>
      <c r="L158"/>
      <c r="M158"/>
      <c r="N158"/>
      <c r="O158"/>
      <c r="P158"/>
      <c r="Q158"/>
    </row>
    <row r="159" spans="1:17" x14ac:dyDescent="0.2">
      <c r="A159" s="29"/>
      <c r="B159" s="30" t="s">
        <v>201</v>
      </c>
      <c r="C159" s="30"/>
      <c r="D159" s="30"/>
      <c r="E159" s="30"/>
      <c r="F159" s="30"/>
      <c r="G159" s="30"/>
      <c r="H159" s="30"/>
      <c r="J159" s="31"/>
    </row>
    <row r="160" spans="1:17" x14ac:dyDescent="0.2">
      <c r="A160" s="35"/>
      <c r="B160" s="35"/>
      <c r="C160" s="35"/>
      <c r="D160" s="36"/>
      <c r="E160" s="36"/>
      <c r="F160" s="36"/>
      <c r="G160" s="36"/>
    </row>
    <row r="161" spans="1:10" x14ac:dyDescent="0.2">
      <c r="A161" s="35"/>
      <c r="B161" s="37" t="s">
        <v>202</v>
      </c>
      <c r="C161" s="38"/>
      <c r="D161" s="39"/>
      <c r="E161" s="40"/>
      <c r="F161" s="36"/>
      <c r="G161" s="36"/>
    </row>
    <row r="162" spans="1:10" ht="24.75" customHeight="1" x14ac:dyDescent="0.2">
      <c r="A162" s="35"/>
      <c r="B162" s="41" t="s">
        <v>203</v>
      </c>
      <c r="C162" s="42"/>
      <c r="D162" s="43" t="s">
        <v>204</v>
      </c>
      <c r="E162" s="40"/>
      <c r="F162" s="36"/>
      <c r="G162" s="36"/>
    </row>
    <row r="163" spans="1:10" ht="12.75" customHeight="1" x14ac:dyDescent="0.2">
      <c r="A163" s="29"/>
      <c r="B163" s="44" t="s">
        <v>205</v>
      </c>
      <c r="C163" s="45"/>
      <c r="D163" s="46" t="s">
        <v>206</v>
      </c>
      <c r="E163" s="47"/>
      <c r="F163" s="48"/>
      <c r="G163" s="48"/>
    </row>
    <row r="164" spans="1:10" x14ac:dyDescent="0.2">
      <c r="A164" s="35"/>
      <c r="B164" s="41" t="s">
        <v>207</v>
      </c>
      <c r="C164" s="42"/>
      <c r="D164" s="22" t="s">
        <v>13</v>
      </c>
      <c r="E164" s="40"/>
      <c r="F164" s="36"/>
      <c r="G164" s="36"/>
    </row>
    <row r="165" spans="1:10" x14ac:dyDescent="0.2">
      <c r="A165" s="49"/>
      <c r="B165" s="50" t="s">
        <v>13</v>
      </c>
      <c r="C165" s="50" t="s">
        <v>208</v>
      </c>
      <c r="D165" s="50" t="s">
        <v>209</v>
      </c>
      <c r="E165" s="49"/>
      <c r="F165" s="49"/>
      <c r="G165" s="49"/>
      <c r="H165" s="49"/>
      <c r="J165" s="31"/>
    </row>
    <row r="166" spans="1:10" x14ac:dyDescent="0.2">
      <c r="A166" s="49"/>
      <c r="B166" s="51" t="s">
        <v>210</v>
      </c>
      <c r="C166" s="52">
        <v>45747</v>
      </c>
      <c r="D166" s="52">
        <v>45777</v>
      </c>
      <c r="E166" s="49"/>
      <c r="F166" s="49"/>
      <c r="G166" s="49"/>
      <c r="J166" s="31"/>
    </row>
    <row r="167" spans="1:10" x14ac:dyDescent="0.2">
      <c r="A167" s="53"/>
      <c r="B167" s="14" t="s">
        <v>211</v>
      </c>
      <c r="C167" s="54">
        <v>14.9551</v>
      </c>
      <c r="D167" s="54">
        <v>15.077400000000001</v>
      </c>
      <c r="E167" s="53"/>
      <c r="F167" s="55"/>
      <c r="G167" s="56"/>
    </row>
    <row r="168" spans="1:10" ht="25.5" x14ac:dyDescent="0.2">
      <c r="A168" s="53"/>
      <c r="B168" s="14" t="s">
        <v>212</v>
      </c>
      <c r="C168" s="54">
        <v>12.931900000000001</v>
      </c>
      <c r="D168" s="54">
        <v>13.036799999999999</v>
      </c>
      <c r="E168" s="53"/>
      <c r="F168" s="55"/>
      <c r="G168" s="56"/>
    </row>
    <row r="169" spans="1:10" x14ac:dyDescent="0.2">
      <c r="A169" s="53"/>
      <c r="B169" s="14" t="s">
        <v>213</v>
      </c>
      <c r="C169" s="54">
        <v>14.2193</v>
      </c>
      <c r="D169" s="54">
        <v>14.312799999999999</v>
      </c>
      <c r="E169" s="53"/>
      <c r="F169" s="55"/>
      <c r="G169" s="56"/>
    </row>
    <row r="170" spans="1:10" ht="25.5" x14ac:dyDescent="0.2">
      <c r="A170" s="53"/>
      <c r="B170" s="14" t="s">
        <v>214</v>
      </c>
      <c r="C170" s="54">
        <v>12.501200000000001</v>
      </c>
      <c r="D170" s="54">
        <v>12.584</v>
      </c>
      <c r="E170" s="53"/>
      <c r="F170" s="55"/>
      <c r="G170" s="56"/>
    </row>
    <row r="171" spans="1:10" x14ac:dyDescent="0.2">
      <c r="A171" s="53"/>
      <c r="B171" s="53"/>
      <c r="C171" s="53"/>
      <c r="D171" s="53"/>
      <c r="E171" s="53"/>
      <c r="F171" s="53"/>
      <c r="G171" s="53"/>
    </row>
    <row r="172" spans="1:10" x14ac:dyDescent="0.2">
      <c r="A172" s="49"/>
      <c r="B172" s="44" t="s">
        <v>215</v>
      </c>
      <c r="C172" s="45"/>
      <c r="D172" s="46" t="s">
        <v>206</v>
      </c>
      <c r="E172" s="49"/>
      <c r="F172" s="49"/>
      <c r="G172" s="49"/>
    </row>
    <row r="173" spans="1:10" x14ac:dyDescent="0.2">
      <c r="A173" s="49"/>
      <c r="B173" s="57"/>
      <c r="C173" s="57"/>
      <c r="D173" s="57"/>
      <c r="E173" s="49"/>
      <c r="F173" s="49"/>
      <c r="G173" s="49"/>
    </row>
    <row r="174" spans="1:10" ht="29.1" customHeight="1" x14ac:dyDescent="0.2">
      <c r="A174" s="49"/>
      <c r="B174" s="44" t="s">
        <v>216</v>
      </c>
      <c r="C174" s="45"/>
      <c r="D174" s="46" t="s">
        <v>217</v>
      </c>
      <c r="E174" s="58"/>
      <c r="F174" s="49"/>
      <c r="G174" s="49"/>
    </row>
    <row r="175" spans="1:10" ht="29.1" customHeight="1" x14ac:dyDescent="0.2">
      <c r="A175" s="49"/>
      <c r="B175" s="44" t="s">
        <v>218</v>
      </c>
      <c r="C175" s="45"/>
      <c r="D175" s="46" t="s">
        <v>206</v>
      </c>
      <c r="E175" s="58"/>
      <c r="F175" s="49"/>
      <c r="G175" s="49"/>
      <c r="I175" s="59"/>
    </row>
    <row r="176" spans="1:10" ht="17.100000000000001" customHeight="1" x14ac:dyDescent="0.2">
      <c r="A176" s="49"/>
      <c r="B176" s="44" t="s">
        <v>219</v>
      </c>
      <c r="C176" s="45"/>
      <c r="D176" s="46" t="s">
        <v>206</v>
      </c>
      <c r="E176" s="58"/>
      <c r="F176" s="49"/>
      <c r="G176" s="49"/>
    </row>
    <row r="177" spans="1:16" ht="17.100000000000001" customHeight="1" x14ac:dyDescent="0.2">
      <c r="A177" s="49"/>
      <c r="B177" s="44" t="s">
        <v>220</v>
      </c>
      <c r="C177" s="45"/>
      <c r="D177" s="60">
        <v>9.6062258367375559</v>
      </c>
      <c r="E177" s="49"/>
      <c r="F177" s="61"/>
      <c r="G177" s="62"/>
    </row>
    <row r="179" spans="1:16" s="63" customFormat="1" x14ac:dyDescent="0.2">
      <c r="B179" s="64" t="s">
        <v>221</v>
      </c>
      <c r="C179" s="64"/>
      <c r="D179" s="64"/>
      <c r="E179" s="65"/>
      <c r="F179" s="66"/>
      <c r="I179"/>
      <c r="J179"/>
      <c r="K179"/>
      <c r="L179"/>
      <c r="M179"/>
      <c r="N179"/>
    </row>
    <row r="180" spans="1:16" ht="13.5" customHeight="1" x14ac:dyDescent="0.2">
      <c r="B180" s="67" t="s">
        <v>222</v>
      </c>
      <c r="C180" s="67" t="s">
        <v>223</v>
      </c>
      <c r="D180" s="68" t="s">
        <v>224</v>
      </c>
      <c r="E180" s="69"/>
      <c r="F180" s="70"/>
      <c r="G180" s="71" t="s">
        <v>225</v>
      </c>
      <c r="H180" s="72"/>
      <c r="I180" s="73"/>
      <c r="J180" s="74"/>
      <c r="K180" s="74"/>
      <c r="L180" s="74"/>
      <c r="M180" s="74"/>
      <c r="N180" s="74"/>
      <c r="O180" s="74"/>
    </row>
    <row r="181" spans="1:16" ht="46.5" customHeight="1" x14ac:dyDescent="0.2">
      <c r="B181" s="75"/>
      <c r="C181" s="75"/>
      <c r="D181" s="76" t="s">
        <v>226</v>
      </c>
      <c r="E181" s="76" t="s">
        <v>227</v>
      </c>
      <c r="F181" s="76" t="s">
        <v>228</v>
      </c>
      <c r="G181" s="77" t="s">
        <v>229</v>
      </c>
      <c r="H181" s="78"/>
      <c r="I181" s="76" t="s">
        <v>230</v>
      </c>
      <c r="J181" s="74"/>
      <c r="K181" s="74"/>
      <c r="L181" s="74"/>
      <c r="M181" s="74"/>
      <c r="N181" s="74"/>
      <c r="O181" s="74"/>
    </row>
    <row r="182" spans="1:16" ht="21" customHeight="1" x14ac:dyDescent="0.2">
      <c r="B182" s="79"/>
      <c r="C182" s="79"/>
      <c r="D182" s="80"/>
      <c r="E182" s="80"/>
      <c r="F182" s="80"/>
      <c r="G182" s="81" t="s">
        <v>231</v>
      </c>
      <c r="H182" s="81" t="s">
        <v>232</v>
      </c>
      <c r="I182" s="80"/>
      <c r="J182" s="74"/>
      <c r="K182" s="74"/>
      <c r="L182" s="74"/>
      <c r="M182" s="74"/>
      <c r="N182" s="74"/>
      <c r="O182" s="74"/>
    </row>
    <row r="183" spans="1:16" ht="13.5" x14ac:dyDescent="0.25">
      <c r="B183" s="82" t="s">
        <v>233</v>
      </c>
      <c r="C183" s="83" t="s">
        <v>234</v>
      </c>
      <c r="D183" s="84">
        <v>48.884799999999998</v>
      </c>
      <c r="E183" s="85">
        <v>1.1152</v>
      </c>
      <c r="F183" s="86">
        <f>D183+E183</f>
        <v>50</v>
      </c>
      <c r="G183" s="87">
        <v>2.1270963690000002</v>
      </c>
      <c r="H183" s="87">
        <v>1.34</v>
      </c>
      <c r="I183" s="87">
        <f>G183+H183</f>
        <v>3.4670963690000001</v>
      </c>
      <c r="J183" s="74"/>
      <c r="K183" s="74"/>
      <c r="L183" s="74"/>
      <c r="M183" s="74"/>
      <c r="N183" s="74"/>
      <c r="O183" s="74"/>
    </row>
    <row r="184" spans="1:16" s="63" customFormat="1" x14ac:dyDescent="0.2">
      <c r="B184" s="88"/>
      <c r="C184" s="89"/>
      <c r="D184" s="90"/>
      <c r="E184" s="91"/>
      <c r="F184" s="92"/>
      <c r="G184" s="88"/>
      <c r="I184"/>
      <c r="J184"/>
      <c r="K184"/>
      <c r="L184"/>
      <c r="M184"/>
      <c r="N184"/>
      <c r="O184"/>
    </row>
    <row r="185" spans="1:16" ht="42" customHeight="1" x14ac:dyDescent="0.2">
      <c r="B185" s="93" t="s">
        <v>235</v>
      </c>
      <c r="C185" s="93"/>
      <c r="D185" s="93"/>
      <c r="E185" s="93"/>
      <c r="F185" s="93"/>
      <c r="G185" s="93"/>
      <c r="H185" s="93"/>
      <c r="I185" s="93"/>
      <c r="J185" s="94"/>
      <c r="K185" s="74"/>
      <c r="L185" s="74"/>
      <c r="M185" s="74"/>
      <c r="N185" s="74"/>
      <c r="O185" s="74"/>
    </row>
    <row r="186" spans="1:16" ht="13.5" x14ac:dyDescent="0.25">
      <c r="B186" s="95" t="s">
        <v>236</v>
      </c>
      <c r="I186" s="74"/>
      <c r="J186" s="5"/>
      <c r="K186" s="74"/>
      <c r="L186" s="74"/>
      <c r="M186" s="74"/>
      <c r="N186" s="74"/>
      <c r="O186" s="74"/>
      <c r="P186" s="74"/>
    </row>
    <row r="187" spans="1:16" x14ac:dyDescent="0.2">
      <c r="B187" s="96" t="s">
        <v>237</v>
      </c>
      <c r="J187" s="5"/>
      <c r="K187" s="74"/>
      <c r="L187" s="74"/>
      <c r="M187" s="74"/>
      <c r="N187" s="74"/>
      <c r="O187" s="74"/>
    </row>
    <row r="188" spans="1:16" s="63" customFormat="1" x14ac:dyDescent="0.2">
      <c r="I188"/>
      <c r="J188"/>
      <c r="K188"/>
      <c r="L188"/>
      <c r="M188"/>
      <c r="N188"/>
      <c r="O188"/>
      <c r="P188"/>
    </row>
    <row r="189" spans="1:16" s="63" customFormat="1" x14ac:dyDescent="0.2">
      <c r="B189" s="97" t="s">
        <v>238</v>
      </c>
      <c r="C189" s="98"/>
      <c r="D189" s="99"/>
      <c r="I189"/>
      <c r="J189"/>
      <c r="K189"/>
      <c r="L189"/>
      <c r="M189"/>
      <c r="N189"/>
      <c r="O189"/>
      <c r="P189"/>
    </row>
    <row r="190" spans="1:16" s="63" customFormat="1" ht="25.5" x14ac:dyDescent="0.2">
      <c r="B190" s="100" t="s">
        <v>239</v>
      </c>
      <c r="C190" s="100"/>
      <c r="D190" s="101" t="s">
        <v>2</v>
      </c>
      <c r="I190"/>
      <c r="J190"/>
      <c r="K190"/>
      <c r="L190"/>
      <c r="M190"/>
      <c r="N190"/>
      <c r="O190"/>
      <c r="P190"/>
    </row>
    <row r="191" spans="1:16" s="63" customFormat="1" x14ac:dyDescent="0.2">
      <c r="B191" s="100" t="s">
        <v>240</v>
      </c>
      <c r="C191" s="100"/>
      <c r="D191" s="102"/>
      <c r="I191"/>
      <c r="J191"/>
      <c r="K191"/>
      <c r="L191"/>
      <c r="M191"/>
      <c r="N191"/>
      <c r="O191"/>
      <c r="P191"/>
    </row>
    <row r="192" spans="1:16" s="63" customFormat="1" x14ac:dyDescent="0.2">
      <c r="B192" s="103"/>
      <c r="C192" s="104"/>
      <c r="D192" s="105"/>
      <c r="I192"/>
      <c r="J192"/>
      <c r="K192"/>
      <c r="L192"/>
      <c r="M192"/>
      <c r="N192"/>
      <c r="O192"/>
      <c r="P192"/>
    </row>
    <row r="193" spans="2:16" s="63" customFormat="1" x14ac:dyDescent="0.2">
      <c r="B193" s="100" t="s">
        <v>241</v>
      </c>
      <c r="C193" s="100"/>
      <c r="D193" s="106">
        <v>5.9762246665156722</v>
      </c>
      <c r="I193"/>
      <c r="J193"/>
      <c r="K193"/>
      <c r="L193"/>
      <c r="M193"/>
      <c r="N193"/>
      <c r="O193"/>
      <c r="P193"/>
    </row>
    <row r="194" spans="2:16" s="63" customFormat="1" x14ac:dyDescent="0.2">
      <c r="B194" s="103"/>
      <c r="C194" s="104"/>
      <c r="D194" s="105"/>
      <c r="I194"/>
      <c r="J194"/>
      <c r="K194"/>
      <c r="L194"/>
      <c r="M194"/>
      <c r="N194"/>
      <c r="O194"/>
      <c r="P194"/>
    </row>
    <row r="195" spans="2:16" s="63" customFormat="1" x14ac:dyDescent="0.2">
      <c r="B195" s="100" t="s">
        <v>242</v>
      </c>
      <c r="C195" s="100"/>
      <c r="D195" s="106">
        <v>0.62145125150166003</v>
      </c>
      <c r="I195"/>
      <c r="J195"/>
      <c r="K195"/>
      <c r="L195"/>
      <c r="M195"/>
      <c r="N195"/>
      <c r="O195"/>
      <c r="P195"/>
    </row>
    <row r="196" spans="2:16" s="63" customFormat="1" x14ac:dyDescent="0.2">
      <c r="B196" s="100" t="s">
        <v>243</v>
      </c>
      <c r="C196" s="100"/>
      <c r="D196" s="106">
        <v>0.65703781908662073</v>
      </c>
      <c r="I196"/>
      <c r="J196"/>
      <c r="K196"/>
      <c r="L196"/>
      <c r="M196"/>
      <c r="N196"/>
      <c r="O196"/>
      <c r="P196"/>
    </row>
    <row r="197" spans="2:16" s="63" customFormat="1" x14ac:dyDescent="0.2">
      <c r="B197" s="103"/>
      <c r="C197" s="104"/>
      <c r="D197" s="105"/>
      <c r="I197"/>
      <c r="J197"/>
      <c r="K197"/>
      <c r="L197"/>
      <c r="M197"/>
      <c r="N197"/>
      <c r="O197"/>
      <c r="P197"/>
    </row>
    <row r="198" spans="2:16" s="63" customFormat="1" x14ac:dyDescent="0.2">
      <c r="B198" s="100" t="s">
        <v>244</v>
      </c>
      <c r="C198" s="100"/>
      <c r="D198" s="107" t="s">
        <v>245</v>
      </c>
      <c r="I198"/>
      <c r="J198"/>
      <c r="K198"/>
      <c r="L198"/>
      <c r="M198"/>
      <c r="N198"/>
      <c r="O198"/>
      <c r="P198"/>
    </row>
    <row r="199" spans="2:16" s="63" customFormat="1" x14ac:dyDescent="0.2">
      <c r="B199" s="103" t="s">
        <v>246</v>
      </c>
      <c r="C199" s="108"/>
      <c r="D199" s="104"/>
      <c r="I199"/>
      <c r="J199"/>
      <c r="K199"/>
      <c r="L199"/>
      <c r="M199"/>
      <c r="N199"/>
      <c r="O199"/>
      <c r="P199"/>
    </row>
    <row r="201" spans="2:16" x14ac:dyDescent="0.2">
      <c r="B201" s="109" t="s">
        <v>247</v>
      </c>
      <c r="C201" s="109"/>
    </row>
    <row r="203" spans="2:16" ht="153.75" customHeight="1" x14ac:dyDescent="0.2"/>
    <row r="206" spans="2:16" x14ac:dyDescent="0.2">
      <c r="B206" s="110" t="s">
        <v>248</v>
      </c>
      <c r="C206" s="111"/>
      <c r="D206" s="110"/>
    </row>
    <row r="207" spans="2:16" x14ac:dyDescent="0.2">
      <c r="B207" s="110" t="s">
        <v>249</v>
      </c>
      <c r="D207" s="110"/>
    </row>
    <row r="208" spans="2:16" ht="165" customHeight="1" x14ac:dyDescent="0.2"/>
    <row r="210" spans="10:10" x14ac:dyDescent="0.2">
      <c r="J210" s="5"/>
    </row>
  </sheetData>
  <mergeCells count="39">
    <mergeCell ref="B201:C201"/>
    <mergeCell ref="B194:C194"/>
    <mergeCell ref="B195:C195"/>
    <mergeCell ref="B196:C196"/>
    <mergeCell ref="B197:C197"/>
    <mergeCell ref="B198:C198"/>
    <mergeCell ref="B199:D199"/>
    <mergeCell ref="B185:I185"/>
    <mergeCell ref="B189:D189"/>
    <mergeCell ref="B190:C190"/>
    <mergeCell ref="B191:C191"/>
    <mergeCell ref="B192:C192"/>
    <mergeCell ref="B193:C193"/>
    <mergeCell ref="D180:F180"/>
    <mergeCell ref="G180:I180"/>
    <mergeCell ref="D181:D182"/>
    <mergeCell ref="E181:E182"/>
    <mergeCell ref="F181:F182"/>
    <mergeCell ref="G181:H181"/>
    <mergeCell ref="I181:I182"/>
    <mergeCell ref="B172:C172"/>
    <mergeCell ref="B174:C174"/>
    <mergeCell ref="B175:C175"/>
    <mergeCell ref="B176:C176"/>
    <mergeCell ref="B177:C177"/>
    <mergeCell ref="B180:B182"/>
    <mergeCell ref="C180:C182"/>
    <mergeCell ref="B158:H158"/>
    <mergeCell ref="B159:H159"/>
    <mergeCell ref="B161:D161"/>
    <mergeCell ref="B162:C162"/>
    <mergeCell ref="B163:C163"/>
    <mergeCell ref="B164:C164"/>
    <mergeCell ref="A1:H1"/>
    <mergeCell ref="A2:H2"/>
    <mergeCell ref="A3:H3"/>
    <mergeCell ref="B155:H155"/>
    <mergeCell ref="B156:H156"/>
    <mergeCell ref="B157:H157"/>
  </mergeCells>
  <hyperlinks>
    <hyperlink ref="I1" location="Index!B2" display="Index" xr:uid="{A1852D24-D7A8-4100-924E-7BB144666D8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2025-05-12T07:38:23Z</dcterms:created>
  <dcterms:modified xsi:type="dcterms:W3CDTF">2025-05-12T07:38:50Z</dcterms:modified>
</cp:coreProperties>
</file>