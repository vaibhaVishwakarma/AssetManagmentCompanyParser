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19 May'25\Monthly Portfolios\HeliosMF_Monthtly Portfolio_31st May  2025___\"/>
    </mc:Choice>
  </mc:AlternateContent>
  <xr:revisionPtr revIDLastSave="0" documentId="13_ncr:1_{243B7921-F3D1-4E6B-9A87-7E439BBA9E57}" xr6:coauthVersionLast="47" xr6:coauthVersionMax="47" xr10:uidLastSave="{00000000-0000-0000-0000-000000000000}"/>
  <bookViews>
    <workbookView xWindow="-110" yWindow="-110" windowWidth="19420" windowHeight="10300" xr2:uid="{BF3429C8-C366-4502-BE6E-D1BE502CFA17}"/>
  </bookViews>
  <sheets>
    <sheet name="HMCF" sheetId="1" r:id="rId1"/>
  </sheets>
  <externalReferences>
    <externalReference r:id="rId2"/>
  </externalReferences>
  <definedNames>
    <definedName name="XDO_?CLASS_3?4?" localSheetId="0">HMCF!$C$12:$C$51</definedName>
    <definedName name="XDO_?FINAL_ISIN?12?" localSheetId="0">HMCF!$D$14:$D$51</definedName>
    <definedName name="XDO_?FINAL_ISIN?13?" localSheetId="0">HMCF!$D$14:$D$56</definedName>
    <definedName name="XDO_?FINAL_ISIN?14?" localSheetId="0">HMCF!$D$14:$D$60</definedName>
    <definedName name="XDO_?FINAL_MV?12?" localSheetId="0">HMCF!$G$14:$G$51</definedName>
    <definedName name="XDO_?FINAL_MV?13?" localSheetId="0">HMCF!$G$14:$G$56</definedName>
    <definedName name="XDO_?FINAL_MV?14?" localSheetId="0">HMCF!$G$14:$G$60</definedName>
    <definedName name="XDO_?FINAL_NAME?12?" localSheetId="0">HMCF!$C$14:$C$51</definedName>
    <definedName name="XDO_?FINAL_NAME?13?" localSheetId="0">HMCF!$C$14:$C$56</definedName>
    <definedName name="XDO_?FINAL_NAME?14?" localSheetId="0">HMCF!$C$14:$C$60</definedName>
    <definedName name="XDO_?FINAL_PER_NET?12?" localSheetId="0">HMCF!$H$14:$H$51</definedName>
    <definedName name="XDO_?FINAL_PER_NET?13?" localSheetId="0">HMCF!$H$14:$H$56</definedName>
    <definedName name="XDO_?FINAL_PER_NET?14?" localSheetId="0">HMCF!$H$14:$H$60</definedName>
    <definedName name="XDO_?FINAL_QUANTITE?12?" localSheetId="0">HMCF!$F$14:$F$51</definedName>
    <definedName name="XDO_?FINAL_QUANTITE?13?" localSheetId="0">HMCF!$F$14:$F$56</definedName>
    <definedName name="XDO_?FINAL_QUANTITE?14?" localSheetId="0">HMCF!$F$14:$F$60</definedName>
    <definedName name="XDO_?NAMC?">[1]HOF!#REF!</definedName>
    <definedName name="XDO_?NAMC?1?">[1]HFCF!#REF!</definedName>
    <definedName name="XDO_?NAMC?2?">[1]HBAF!#REF!</definedName>
    <definedName name="XDO_?NAMC?3?">[1]HFSF!#REF!</definedName>
    <definedName name="XDO_?NAMC?4?" localSheetId="0">HMCF!#REF!</definedName>
    <definedName name="XDO_?NAMC?4?">[1]HLM!#REF!</definedName>
    <definedName name="XDO_?NAMCNAME?4?" localSheetId="0">HMCF!$C$2:$C$51</definedName>
    <definedName name="XDO_?NDATE?">[1]HOF!#REF!</definedName>
    <definedName name="XDO_?NDATE?1?">[1]HFCF!#REF!</definedName>
    <definedName name="XDO_?NDATE?2?">[1]HBAF!#REF!</definedName>
    <definedName name="XDO_?NDATE?3?">[1]HFSF!#REF!</definedName>
    <definedName name="XDO_?NDATE?4?" localSheetId="0">HMCF!#REF!</definedName>
    <definedName name="XDO_?NDATE?4?">[1]HLM!#REF!</definedName>
    <definedName name="XDO_?NNPTF?">[1]HOF!#REF!</definedName>
    <definedName name="XDO_?NNPTF?1?">[1]HFCF!#REF!</definedName>
    <definedName name="XDO_?NNPTF?2?">[1]HBAF!#REF!</definedName>
    <definedName name="XDO_?NNPTF?3?">[1]HFSF!#REF!</definedName>
    <definedName name="XDO_?NNPTF?4?" localSheetId="0">HMCF!#REF!</definedName>
    <definedName name="XDO_?NNPTF?4?">[1]HLM!#REF!</definedName>
    <definedName name="XDO_?NOVAL?12?" localSheetId="0">HMCF!$B$14:$B$51</definedName>
    <definedName name="XDO_?NOVAL?13?" localSheetId="0">HMCF!$B$14:$B$56</definedName>
    <definedName name="XDO_?NOVAL?14?" localSheetId="0">HMCF!$B$14:$B$60</definedName>
    <definedName name="XDO_?NPTF?4?" localSheetId="0">HMCF!$D$2:$D$51</definedName>
    <definedName name="XDO_?RATING?12?" localSheetId="0">HMCF!$E$14:$E$51</definedName>
    <definedName name="XDO_?RATING?13?" localSheetId="0">HMCF!$E$14:$E$56</definedName>
    <definedName name="XDO_?RATING?14?" localSheetId="0">HMCF!$E$14:$E$60</definedName>
    <definedName name="XDO_?REMARKS?12?" localSheetId="0">HMCF!$K$14:$K$51</definedName>
    <definedName name="XDO_?REMARKS?13?" localSheetId="0">HMCF!$K$14:$K$56</definedName>
    <definedName name="XDO_?REMARKS?14?" localSheetId="0">HMCF!$K$14:$K$60</definedName>
    <definedName name="XDO_?TITL?4?" localSheetId="0">HMCF!$A$12:$A$51</definedName>
    <definedName name="XDO_?YTM?12?" localSheetId="0">HMCF!$I$14:$I$51</definedName>
    <definedName name="XDO_?YTM?13?" localSheetId="0">HMCF!$I$14:$I$56</definedName>
    <definedName name="XDO_?YTM?14?" localSheetId="0">HMCF!$I$14:$I$60</definedName>
    <definedName name="XDO_GROUP_?G_2?4?" localSheetId="0">HMCF!$2:$77</definedName>
    <definedName name="XDO_GROUP_?G_3?4?" localSheetId="0">HMCF!$12:$77</definedName>
    <definedName name="XDO_GROUP_?G_4?11?">[1]HFSF!#REF!</definedName>
    <definedName name="XDO_GROUP_?G_4?12?" localSheetId="0">HMCF!$B$14:$IV$51</definedName>
    <definedName name="XDO_GROUP_?G_4?13?" localSheetId="0">HMCF!$B$56:$IV$56</definedName>
    <definedName name="XDO_GROUP_?G_4?14?" localSheetId="0">HMCF!$B$60:$IV$60</definedName>
    <definedName name="XDO_GROUP_?G_4?2?">[1]HFCF!#REF!</definedName>
    <definedName name="XDO_GROUP_?G_4?3?">[1]HFCF!#REF!</definedName>
    <definedName name="XDO_GROUP_?G_4?8?">[1]HBAF!#REF!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7" i="1" l="1"/>
</calcChain>
</file>

<file path=xl/sharedStrings.xml><?xml version="1.0" encoding="utf-8"?>
<sst xmlns="http://schemas.openxmlformats.org/spreadsheetml/2006/main" count="273" uniqueCount="237">
  <si>
    <t>Helios Mutual Fund</t>
  </si>
  <si>
    <t>SCHEME NAME :</t>
  </si>
  <si>
    <t>Helios Mid Cap Fund (Mid Cap Fund - An open-ended equity scheme predominantly investing in mid cap stocks)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</si>
  <si>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</si>
  <si>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</si>
  <si>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</si>
  <si>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</si>
  <si>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</si>
  <si>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</si>
  <si>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</si>
  <si>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</si>
  <si>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</si>
  <si>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</si>
  <si>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</si>
  <si>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</si>
  <si>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Hitachi Energy India Ltd.</t>
  </si>
  <si>
    <t>INE07Y701011</t>
  </si>
  <si>
    <t>Electrical Equipment</t>
  </si>
  <si>
    <t>One 97 Communications Ltd.</t>
  </si>
  <si>
    <t>INE982J01020</t>
  </si>
  <si>
    <t>Financial Technology (Fintech)</t>
  </si>
  <si>
    <t>Bharti Hexacom Ltd.</t>
  </si>
  <si>
    <t>INE343G01021</t>
  </si>
  <si>
    <t>Telecom - Services</t>
  </si>
  <si>
    <t>Max Financial Services Ltd.</t>
  </si>
  <si>
    <t>INE180A01020</t>
  </si>
  <si>
    <t>Insurance</t>
  </si>
  <si>
    <t>100012</t>
  </si>
  <si>
    <t>Nippon Life India Asset Management Ltd.</t>
  </si>
  <si>
    <t>INE298J01013</t>
  </si>
  <si>
    <t>Capital Markets</t>
  </si>
  <si>
    <t>100006</t>
  </si>
  <si>
    <t>HDFC Asset Management Co. Ltd.</t>
  </si>
  <si>
    <t>INE127D01025</t>
  </si>
  <si>
    <t>101313</t>
  </si>
  <si>
    <t>Fortis Healthcare Ltd.</t>
  </si>
  <si>
    <t>INE061F01013</t>
  </si>
  <si>
    <t>Healthcare Services</t>
  </si>
  <si>
    <t>101396</t>
  </si>
  <si>
    <t>PB Fintech Ltd.</t>
  </si>
  <si>
    <t>INE417T01026</t>
  </si>
  <si>
    <t>100032</t>
  </si>
  <si>
    <t>Motilal Oswal Financial Services Ltd.</t>
  </si>
  <si>
    <t>INE338I01027</t>
  </si>
  <si>
    <t>100010</t>
  </si>
  <si>
    <t>Marico Ltd.</t>
  </si>
  <si>
    <t>INE196A01026</t>
  </si>
  <si>
    <t>Agricultural Food &amp; other Products</t>
  </si>
  <si>
    <t>100003</t>
  </si>
  <si>
    <t>Hindustan Petroleum Corporation Ltd.</t>
  </si>
  <si>
    <t>INE094A01015</t>
  </si>
  <si>
    <t>Petroleum Products</t>
  </si>
  <si>
    <t>100161</t>
  </si>
  <si>
    <t>Aditya Birla Capital Ltd.</t>
  </si>
  <si>
    <t>INE674K01013</t>
  </si>
  <si>
    <t>Finance</t>
  </si>
  <si>
    <t>100022</t>
  </si>
  <si>
    <t>Gokaldas Exports Ltd.</t>
  </si>
  <si>
    <t>INE887G01027</t>
  </si>
  <si>
    <t>Textiles &amp; Apparels</t>
  </si>
  <si>
    <t>100108</t>
  </si>
  <si>
    <t>Schaeffler India Ltd.</t>
  </si>
  <si>
    <t>INE513A01022</t>
  </si>
  <si>
    <t>Auto Components</t>
  </si>
  <si>
    <t>100222</t>
  </si>
  <si>
    <t>APL Apollo Tubes Ltd.</t>
  </si>
  <si>
    <t>INE702C01027</t>
  </si>
  <si>
    <t>Industrial Products</t>
  </si>
  <si>
    <t>102449</t>
  </si>
  <si>
    <t>UNO Minda Ltd.</t>
  </si>
  <si>
    <t>INE405E01023</t>
  </si>
  <si>
    <t>101390</t>
  </si>
  <si>
    <t>360 ONE WAM Ltd.</t>
  </si>
  <si>
    <t>INE466L01038</t>
  </si>
  <si>
    <t>100234</t>
  </si>
  <si>
    <t>The Federal Bank Ltd.</t>
  </si>
  <si>
    <t>INE171A01029</t>
  </si>
  <si>
    <t>Banks</t>
  </si>
  <si>
    <t>100195</t>
  </si>
  <si>
    <t>K.P.R. Mill Ltd.</t>
  </si>
  <si>
    <t>INE930H01031</t>
  </si>
  <si>
    <t>100148</t>
  </si>
  <si>
    <t>Vishal Mega Mart Ltd.</t>
  </si>
  <si>
    <t>INE01EA01019</t>
  </si>
  <si>
    <t>Retailing</t>
  </si>
  <si>
    <t>100037</t>
  </si>
  <si>
    <t>The Indian Hotels Company Ltd.</t>
  </si>
  <si>
    <t>INE053A01029</t>
  </si>
  <si>
    <t>Leisure Services</t>
  </si>
  <si>
    <t>100830</t>
  </si>
  <si>
    <t>IDFC First Bank Ltd.</t>
  </si>
  <si>
    <t>INE092T01019</t>
  </si>
  <si>
    <t>100181</t>
  </si>
  <si>
    <t>KPIT Technologies Ltd.</t>
  </si>
  <si>
    <t>INE04I401011</t>
  </si>
  <si>
    <t>IT - Software</t>
  </si>
  <si>
    <t>100382</t>
  </si>
  <si>
    <t>ITC Hotels Ltd.</t>
  </si>
  <si>
    <t>INE379A01028</t>
  </si>
  <si>
    <t>100632</t>
  </si>
  <si>
    <t>Apollo Hospitals Enterprise Ltd.</t>
  </si>
  <si>
    <t>INE437A01024</t>
  </si>
  <si>
    <t>100024</t>
  </si>
  <si>
    <t>GMR Airports Ltd.</t>
  </si>
  <si>
    <t>INE776C01039</t>
  </si>
  <si>
    <t>Transport Infrastructure</t>
  </si>
  <si>
    <t>100814</t>
  </si>
  <si>
    <t>Muthoot Finance Ltd.</t>
  </si>
  <si>
    <t>INE414G01012</t>
  </si>
  <si>
    <t>101623</t>
  </si>
  <si>
    <t>Apar Industries Ltd.</t>
  </si>
  <si>
    <t>INE372A01015</t>
  </si>
  <si>
    <t>100816</t>
  </si>
  <si>
    <t>Glaxosmithkline Pharmaceuticals Ltd.</t>
  </si>
  <si>
    <t>INE159A01016</t>
  </si>
  <si>
    <t>Pharmaceuticals &amp; Biotechnology</t>
  </si>
  <si>
    <t>100114</t>
  </si>
  <si>
    <t>The Phoenix Mills Ltd.</t>
  </si>
  <si>
    <t>INE211B01039</t>
  </si>
  <si>
    <t>Realty</t>
  </si>
  <si>
    <t>100706</t>
  </si>
  <si>
    <t>ICICI Lombard General Insurance Company Ltd.</t>
  </si>
  <si>
    <t>INE765G01017</t>
  </si>
  <si>
    <t>100095</t>
  </si>
  <si>
    <t>Ather Energy Ltd.</t>
  </si>
  <si>
    <t>INE0LEZ01016</t>
  </si>
  <si>
    <t>Automobiles</t>
  </si>
  <si>
    <t>100682</t>
  </si>
  <si>
    <t>NBCC (India) Ltd.</t>
  </si>
  <si>
    <t>INE095N01031</t>
  </si>
  <si>
    <t>Construction</t>
  </si>
  <si>
    <t>100089</t>
  </si>
  <si>
    <t>Niva Bupa Health Insurance Company Ltd.</t>
  </si>
  <si>
    <t>INE995S01015</t>
  </si>
  <si>
    <t>100120</t>
  </si>
  <si>
    <t>Multi Commodity Exchange of India Ltd.</t>
  </si>
  <si>
    <t>INE745G01035</t>
  </si>
  <si>
    <t>100182</t>
  </si>
  <si>
    <t>Allied Blenders And Distillers Ltd.</t>
  </si>
  <si>
    <t>INE552Z01027</t>
  </si>
  <si>
    <t>Beverages</t>
  </si>
  <si>
    <t>100872</t>
  </si>
  <si>
    <t>Syrma SGS Technology Ltd.</t>
  </si>
  <si>
    <t>INE0DYJ01015</t>
  </si>
  <si>
    <t>Industrial Manufacturing</t>
  </si>
  <si>
    <t>100150</t>
  </si>
  <si>
    <t>CarTrade Tech Ltd.</t>
  </si>
  <si>
    <t>INE290S01011</t>
  </si>
  <si>
    <t>100565</t>
  </si>
  <si>
    <t>Lemon Tree Hotels Ltd.</t>
  </si>
  <si>
    <t>INE970X01018</t>
  </si>
  <si>
    <t>100773</t>
  </si>
  <si>
    <t>PNB Housing Finance Ltd.</t>
  </si>
  <si>
    <t>INE572E01012</t>
  </si>
  <si>
    <t>100283</t>
  </si>
  <si>
    <t>Delhivery Ltd.</t>
  </si>
  <si>
    <t>INE148O01028</t>
  </si>
  <si>
    <t>Transport Services</t>
  </si>
  <si>
    <t>101121</t>
  </si>
  <si>
    <t>JB Chemicals &amp; Pharmaceuticals Ltd.</t>
  </si>
  <si>
    <t>INE572A01036</t>
  </si>
  <si>
    <t>Patanjali Foods Ltd.</t>
  </si>
  <si>
    <t>INE619A01035</t>
  </si>
  <si>
    <t>Ethos Ltd.</t>
  </si>
  <si>
    <t>INE04TZ01018</t>
  </si>
  <si>
    <t>Consumer Durables</t>
  </si>
  <si>
    <t>BLS International Services Ltd.</t>
  </si>
  <si>
    <t>INE153T01027</t>
  </si>
  <si>
    <t>Manappuram Finance Ltd.</t>
  </si>
  <si>
    <t>INE522D01027</t>
  </si>
  <si>
    <t>212240100</t>
  </si>
  <si>
    <t>Radico Khaitan Ltd.</t>
  </si>
  <si>
    <t>INE944F01028</t>
  </si>
  <si>
    <t>Dr. Lal Path labs Ltd.</t>
  </si>
  <si>
    <t>INE600L01024</t>
  </si>
  <si>
    <t>Rainbow Children's Medicare Ltd.</t>
  </si>
  <si>
    <t>INE961O01016</t>
  </si>
  <si>
    <t>SAREGAMA India Ltd.</t>
  </si>
  <si>
    <t>INE979A01025</t>
  </si>
  <si>
    <t>Entertainment</t>
  </si>
  <si>
    <t>V2 Retail Ltd.</t>
  </si>
  <si>
    <t>INE945H01013</t>
  </si>
  <si>
    <t>Indegene Ltd.</t>
  </si>
  <si>
    <t>INE065X01017</t>
  </si>
  <si>
    <t>Aavas Financiers Ltd.</t>
  </si>
  <si>
    <t>INE216P01012</t>
  </si>
  <si>
    <t>Blue Star Ltd.</t>
  </si>
  <si>
    <t>INE472A01039</t>
  </si>
  <si>
    <t>Alivus Life Sciences Ltd.</t>
  </si>
  <si>
    <t>INE03Q201024</t>
  </si>
  <si>
    <t>Afcons Infrastructure Ltd.</t>
  </si>
  <si>
    <t>INE101I01011</t>
  </si>
  <si>
    <t>Total</t>
  </si>
  <si>
    <t>OTHERS</t>
  </si>
  <si>
    <t>TREPS / Reverse Repo Investments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</si>
  <si>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</si>
  <si>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</si>
  <si>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</si>
  <si>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</si>
  <si>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</si>
  <si>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</si>
  <si>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</si>
  <si>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</si>
  <si>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History:</t>
  </si>
  <si>
    <t>Option / Plan</t>
  </si>
  <si>
    <t>NAV Rs. per unit as on April  30, 2025</t>
  </si>
  <si>
    <t>NAV Rs. per unit as on May  31, 2025</t>
  </si>
  <si>
    <t xml:space="preserve">Helios Mid Cap Fund - Regular Plan - Growth Option </t>
  </si>
  <si>
    <t xml:space="preserve">Helios Mid Cap Fund - Regular Plan - IDCW Option </t>
  </si>
  <si>
    <t xml:space="preserve">Helios Mid Cap Fund - Direct Plan - Growth Option </t>
  </si>
  <si>
    <t xml:space="preserve">Helios Mid Cap Fund - Direct Plan - IDCW Option </t>
  </si>
  <si>
    <t>Dividend History:Total dividends declared during the month ended May  31, 2025 under the Income Distribution cum Capital Withdrawal (IDCW) Options of the Scheme are as follows:</t>
  </si>
  <si>
    <t>Rate of dividend per Unit</t>
  </si>
  <si>
    <t>Individuals &amp; HUF</t>
  </si>
  <si>
    <t>Others</t>
  </si>
  <si>
    <t>Helios Mid Cap Fund - Regular Plan - IDCW Option</t>
  </si>
  <si>
    <t>Nil</t>
  </si>
  <si>
    <t>Helios Mid Cap Fund - Direct Plan - IDCW Option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</si>
  <si>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</si>
  <si>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</si>
  <si>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May  31, 2025.</t>
  </si>
  <si>
    <t>Investment in Repo in Corporate Debt Securities during the Month ended May  31,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</si>
  <si>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</si>
  <si>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</si>
  <si>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</si>
  <si>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May  31, 2025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</si>
  <si>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</si>
  <si>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May  31, 2025 is Nil.</t>
  </si>
  <si>
    <t>Market Value includes accrued interest (if any)</t>
  </si>
  <si>
    <t>Investments in Credit Default Swap (CDS) during the period/as on May  31, 2025: Nil</t>
  </si>
  <si>
    <t>Total value and percentage of illiquid equity shares: Nil</t>
  </si>
  <si>
    <t>Funds parked in short term deposit(s) during the period / as on May  31, 2025: Nil</t>
  </si>
  <si>
    <t>Value of term deposits placed as margin for trading in cash or derivatives market: Nil</t>
  </si>
  <si>
    <t>Total below investment grade or default provided for and its percentage to NAV: Nil</t>
  </si>
  <si>
    <t>Product Labelling: To provide investors an easy understanding of the kind of product/scheme they are investing in and its suitability to them, the product labelling is as under:</t>
  </si>
  <si>
    <t>*Investors should consult their financial advisers if in doubt about whether the product is suitable for them.</t>
  </si>
  <si>
    <t xml:space="preserve"># Please note that the above risk-o-meter is as per the product labelling of the scheme available as on the date of this communication/disclosure. As Para 17.4 of SEBI Master Circular dated June 27, 2024 on product labelling (as amended from time to time), risk-o-meter will be calculated on a monthly basis based on the risk value of the scheme portfolio based on the methodology specified by SEBI in the above stated circular. The AMC shall disclose the risk-o-meter along with portfolio disclosure for all their schemes on their respective website and on AMFI website within 10 days from the close of each month. Any change in risk-o-meter shall be communicated by way of Notice cum Addendum and by way of an e-mail or SMS to unit holders of that particular scheme.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</si>
</sst>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Aptos Narrow"/>
      <family val="2"/>
      <scheme val="minor"/>
    </font>
    <font>
      <b/>
      <sz val="10"/>
      <name val="Franklin Gothic Book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333333"/>
      <name val="Aptos Narrow"/>
      <family val="2"/>
      <scheme val="minor"/>
    </font>
    <font>
      <b/>
      <sz val="9"/>
      <color theme="1"/>
      <name val="Arial"/>
      <family val="2"/>
    </font>
    <font>
      <sz val="10"/>
      <name val="Franklin Gothic Book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D8603"/>
        <bgColor indexed="64"/>
      </patternFill>
    </fill>
    <fill>
      <patternFill patternType="solid">
        <fgColor rgb="FFFD8603"/>
        <bgColor rgb="FFFFFFFF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106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8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164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5" fontId="4" fillId="0" borderId="19" xfId="1" applyNumberFormat="1" applyFont="1" applyBorder="1"/>
    <xf numFmtId="164" fontId="4" fillId="0" borderId="19" xfId="1" applyFont="1" applyBorder="1" applyAlignment="1">
      <alignment horizontal="right"/>
    </xf>
    <xf numFmtId="164" fontId="4" fillId="0" borderId="20" xfId="1" applyFont="1" applyBorder="1"/>
    <xf numFmtId="164" fontId="4" fillId="0" borderId="21" xfId="1" applyFont="1" applyBorder="1"/>
    <xf numFmtId="166" fontId="4" fillId="0" borderId="22" xfId="0" applyNumberFormat="1" applyFont="1" applyBorder="1"/>
    <xf numFmtId="0" fontId="7" fillId="0" borderId="17" xfId="0" applyFont="1" applyBorder="1"/>
    <xf numFmtId="0" fontId="4" fillId="0" borderId="23" xfId="0" applyFont="1" applyBorder="1"/>
    <xf numFmtId="0" fontId="4" fillId="0" borderId="24" xfId="0" applyFont="1" applyBorder="1"/>
    <xf numFmtId="165" fontId="4" fillId="0" borderId="24" xfId="1" applyNumberFormat="1" applyFont="1" applyBorder="1"/>
    <xf numFmtId="164" fontId="4" fillId="0" borderId="24" xfId="1" applyFont="1" applyBorder="1" applyAlignment="1">
      <alignment horizontal="right"/>
    </xf>
    <xf numFmtId="164" fontId="4" fillId="0" borderId="25" xfId="1" applyFont="1" applyBorder="1"/>
    <xf numFmtId="164" fontId="4" fillId="0" borderId="26" xfId="1" applyFont="1" applyBorder="1"/>
    <xf numFmtId="166" fontId="4" fillId="0" borderId="27" xfId="0" applyNumberFormat="1" applyFont="1" applyBorder="1"/>
    <xf numFmtId="0" fontId="10" fillId="3" borderId="17" xfId="4" applyFont="1" applyFill="1" applyBorder="1"/>
    <xf numFmtId="0" fontId="3" fillId="3" borderId="28" xfId="4" applyFont="1" applyFill="1" applyBorder="1"/>
    <xf numFmtId="0" fontId="3" fillId="3" borderId="0" xfId="4" applyFont="1" applyFill="1"/>
    <xf numFmtId="164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5" fontId="4" fillId="0" borderId="32" xfId="1" applyNumberFormat="1" applyFont="1" applyBorder="1"/>
    <xf numFmtId="164" fontId="7" fillId="0" borderId="33" xfId="1" applyFont="1" applyBorder="1" applyAlignment="1">
      <alignment horizontal="right"/>
    </xf>
    <xf numFmtId="164" fontId="4" fillId="0" borderId="34" xfId="1" applyFont="1" applyBorder="1"/>
    <xf numFmtId="164" fontId="4" fillId="0" borderId="35" xfId="1" applyFont="1" applyBorder="1"/>
    <xf numFmtId="0" fontId="10" fillId="3" borderId="0" xfId="0" applyFont="1" applyFill="1"/>
    <xf numFmtId="0" fontId="10" fillId="3" borderId="0" xfId="0" applyFont="1" applyFill="1" applyAlignment="1">
      <alignment horizontal="center"/>
    </xf>
    <xf numFmtId="165" fontId="4" fillId="0" borderId="0" xfId="1" applyNumberFormat="1" applyFont="1" applyBorder="1"/>
    <xf numFmtId="164" fontId="7" fillId="0" borderId="0" xfId="1" applyFont="1" applyBorder="1" applyAlignment="1">
      <alignment horizontal="right"/>
    </xf>
    <xf numFmtId="164" fontId="4" fillId="0" borderId="0" xfId="1" applyFont="1" applyBorder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4" fillId="0" borderId="4" xfId="0" applyFont="1" applyBorder="1"/>
    <xf numFmtId="168" fontId="12" fillId="0" borderId="37" xfId="0" applyNumberFormat="1" applyFont="1" applyBorder="1" applyAlignment="1">
      <alignment horizontal="center" vertical="center"/>
    </xf>
    <xf numFmtId="0" fontId="14" fillId="0" borderId="8" xfId="0" applyFont="1" applyBorder="1"/>
    <xf numFmtId="168" fontId="12" fillId="0" borderId="38" xfId="0" applyNumberFormat="1" applyFont="1" applyBorder="1" applyAlignment="1">
      <alignment horizontal="center" vertical="center"/>
    </xf>
    <xf numFmtId="0" fontId="14" fillId="0" borderId="0" xfId="0" applyFont="1"/>
    <xf numFmtId="168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42" xfId="0" applyFont="1" applyBorder="1" applyAlignment="1">
      <alignment wrapText="1"/>
    </xf>
    <xf numFmtId="2" fontId="12" fillId="0" borderId="43" xfId="0" applyNumberFormat="1" applyFont="1" applyBorder="1" applyAlignment="1">
      <alignment horizontal="right"/>
    </xf>
    <xf numFmtId="165" fontId="12" fillId="0" borderId="0" xfId="1" applyNumberFormat="1" applyFont="1"/>
    <xf numFmtId="0" fontId="2" fillId="0" borderId="0" xfId="2"/>
    <xf numFmtId="49" fontId="2" fillId="4" borderId="0" xfId="2" applyNumberFormat="1" applyFill="1" applyAlignment="1">
      <alignment horizontal="left"/>
    </xf>
    <xf numFmtId="49" fontId="15" fillId="4" borderId="0" xfId="4" applyNumberFormat="1" applyFont="1" applyFill="1" applyAlignment="1">
      <alignment horizontal="left"/>
    </xf>
    <xf numFmtId="0" fontId="16" fillId="0" borderId="44" xfId="0" applyFont="1" applyBorder="1" applyAlignment="1">
      <alignment horizontal="justify" vertical="center" wrapText="1"/>
    </xf>
    <xf numFmtId="0" fontId="16" fillId="0" borderId="45" xfId="0" applyFont="1" applyBorder="1" applyAlignment="1">
      <alignment horizontal="center" vertical="center" wrapText="1"/>
    </xf>
    <xf numFmtId="165" fontId="4" fillId="0" borderId="45" xfId="1" applyNumberFormat="1" applyFont="1" applyBorder="1"/>
    <xf numFmtId="164" fontId="4" fillId="0" borderId="46" xfId="1" applyFont="1" applyBorder="1"/>
    <xf numFmtId="0" fontId="17" fillId="0" borderId="0" xfId="0" applyFont="1"/>
    <xf numFmtId="164" fontId="17" fillId="0" borderId="0" xfId="1" applyFont="1"/>
    <xf numFmtId="166" fontId="17" fillId="0" borderId="0" xfId="0" applyNumberFormat="1" applyFont="1"/>
    <xf numFmtId="0" fontId="9" fillId="0" borderId="0" xfId="0" applyFont="1" applyAlignment="1">
      <alignment horizontal="left" vertical="center" wrapText="1"/>
    </xf>
    <xf numFmtId="0" fontId="18" fillId="0" borderId="0" xfId="0" applyFont="1"/>
    <xf numFmtId="165" fontId="17" fillId="0" borderId="0" xfId="1" applyNumberFormat="1" applyFont="1"/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167" fontId="6" fillId="0" borderId="11" xfId="0" applyNumberFormat="1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6" fillId="0" borderId="39" xfId="0" applyFont="1" applyBorder="1" applyAlignment="1">
      <alignment horizontal="left" wrapText="1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9" fillId="5" borderId="12" xfId="3" applyFont="1" applyFill="1" applyBorder="1" applyAlignment="1">
      <alignment vertical="center"/>
    </xf>
    <xf numFmtId="0" fontId="9" fillId="5" borderId="13" xfId="3" applyFont="1" applyFill="1" applyBorder="1" applyAlignment="1">
      <alignment vertical="center"/>
    </xf>
    <xf numFmtId="0" fontId="9" fillId="5" borderId="14" xfId="0" applyFont="1" applyFill="1" applyBorder="1" applyAlignment="1">
      <alignment vertical="center"/>
    </xf>
    <xf numFmtId="165" fontId="9" fillId="5" borderId="14" xfId="1" applyNumberFormat="1" applyFont="1" applyFill="1" applyBorder="1" applyAlignment="1">
      <alignment vertical="center"/>
    </xf>
    <xf numFmtId="164" fontId="9" fillId="5" borderId="14" xfId="1" applyFont="1" applyFill="1" applyBorder="1" applyAlignment="1">
      <alignment vertical="center" wrapText="1"/>
    </xf>
    <xf numFmtId="164" fontId="9" fillId="5" borderId="15" xfId="1" applyFont="1" applyFill="1" applyBorder="1" applyAlignment="1">
      <alignment vertical="center"/>
    </xf>
    <xf numFmtId="164" fontId="9" fillId="5" borderId="16" xfId="1" applyFont="1" applyFill="1" applyBorder="1" applyAlignment="1">
      <alignment vertical="center"/>
    </xf>
    <xf numFmtId="0" fontId="6" fillId="5" borderId="36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 wrapText="1"/>
    </xf>
    <xf numFmtId="0" fontId="6" fillId="5" borderId="40" xfId="0" applyFont="1" applyFill="1" applyBorder="1" applyAlignment="1">
      <alignment horizontal="center" vertical="center" wrapText="1"/>
    </xf>
    <xf numFmtId="49" fontId="15" fillId="6" borderId="15" xfId="4" applyNumberFormat="1" applyFont="1" applyFill="1" applyBorder="1" applyAlignment="1">
      <alignment horizontal="center" vertical="center"/>
    </xf>
    <xf numFmtId="49" fontId="15" fillId="6" borderId="3" xfId="4" applyNumberFormat="1" applyFont="1" applyFill="1" applyBorder="1" applyAlignment="1">
      <alignment horizontal="center" vertical="center"/>
    </xf>
    <xf numFmtId="0" fontId="6" fillId="5" borderId="41" xfId="0" applyFont="1" applyFill="1" applyBorder="1" applyAlignment="1">
      <alignment horizontal="center" vertical="center" wrapText="1"/>
    </xf>
    <xf numFmtId="49" fontId="15" fillId="6" borderId="29" xfId="4" applyNumberFormat="1" applyFont="1" applyFill="1" applyBorder="1" applyAlignment="1">
      <alignment horizontal="center" vertical="center"/>
    </xf>
    <xf numFmtId="49" fontId="15" fillId="6" borderId="37" xfId="4" applyNumberFormat="1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 wrapText="1"/>
    </xf>
  </cellXfs>
  <cellStyles count="5">
    <cellStyle name="Comma" xfId="1" builtinId="3"/>
    <cellStyle name="Explanatory Text" xfId="2" builtinId="53"/>
    <cellStyle name="Normal" xfId="0" builtinId="0"/>
    <cellStyle name="Normal 2" xfId="4" xr:uid="{9F5775D9-BC51-4FFB-98CE-EA2D5B9F9154}"/>
    <cellStyle name="Style 1" xfId="3" xr:uid="{8BE6D92D-13E9-4EC9-9A20-4F4A43B56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118</xdr:row>
      <xdr:rowOff>28575</xdr:rowOff>
    </xdr:from>
    <xdr:to>
      <xdr:col>6</xdr:col>
      <xdr:colOff>1276350</xdr:colOff>
      <xdr:row>118</xdr:row>
      <xdr:rowOff>3124200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FD713F0-CE5E-4321-B79D-3E2A41B66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1593175"/>
          <a:ext cx="9305925" cy="309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May%202025\Monthly%2031-May-2025\Final\HeliosMF_Monthtly%20Portfolio_31st%20May%20%202025___.xls" TargetMode="External"/><Relationship Id="rId1" Type="http://schemas.openxmlformats.org/officeDocument/2006/relationships/externalLinkPath" Target="HeliosMF_Monthtly%20Portfolio_31st%20May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B129-E62E-4C00-A43A-B915FB76717E}">
  <sheetPr codeName="Sheet15"/>
  <dimension ref="A1:IT121"/>
  <sheetViews>
    <sheetView showGridLines="0" tabSelected="1" zoomScale="90" zoomScaleNormal="90" workbookViewId="0">
      <pane ySplit="6" topLeftCell="A7" activePane="bottomLeft" state="frozen"/>
      <selection pane="bottomLeft" activeCell="F106" sqref="F106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10" customWidth="1"/>
    <col min="7" max="10" width="19.54296875" style="11" customWidth="1"/>
    <col min="11" max="11" width="19.54296875" style="6" hidden="1" customWidth="1"/>
    <col min="12" max="12" width="9.1796875" style="6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58.1796875" style="2" customWidth="1"/>
    <col min="260" max="260" width="19.54296875" style="2" customWidth="1"/>
    <col min="261" max="261" width="23.7265625" style="2" customWidth="1"/>
    <col min="262" max="266" width="19.54296875" style="2" customWidth="1"/>
    <col min="267" max="267" width="0" style="2" hidden="1" customWidth="1"/>
    <col min="268" max="268" width="9.1796875" style="2" bestFit="1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58.1796875" style="2" customWidth="1"/>
    <col min="516" max="516" width="19.54296875" style="2" customWidth="1"/>
    <col min="517" max="517" width="23.7265625" style="2" customWidth="1"/>
    <col min="518" max="522" width="19.54296875" style="2" customWidth="1"/>
    <col min="523" max="523" width="0" style="2" hidden="1" customWidth="1"/>
    <col min="524" max="524" width="9.1796875" style="2" bestFit="1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58.1796875" style="2" customWidth="1"/>
    <col min="772" max="772" width="19.54296875" style="2" customWidth="1"/>
    <col min="773" max="773" width="23.7265625" style="2" customWidth="1"/>
    <col min="774" max="778" width="19.54296875" style="2" customWidth="1"/>
    <col min="779" max="779" width="0" style="2" hidden="1" customWidth="1"/>
    <col min="780" max="780" width="9.1796875" style="2" bestFit="1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58.1796875" style="2" customWidth="1"/>
    <col min="1028" max="1028" width="19.54296875" style="2" customWidth="1"/>
    <col min="1029" max="1029" width="23.7265625" style="2" customWidth="1"/>
    <col min="1030" max="1034" width="19.54296875" style="2" customWidth="1"/>
    <col min="1035" max="1035" width="0" style="2" hidden="1" customWidth="1"/>
    <col min="1036" max="1036" width="9.1796875" style="2" bestFit="1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58.1796875" style="2" customWidth="1"/>
    <col min="1284" max="1284" width="19.54296875" style="2" customWidth="1"/>
    <col min="1285" max="1285" width="23.7265625" style="2" customWidth="1"/>
    <col min="1286" max="1290" width="19.54296875" style="2" customWidth="1"/>
    <col min="1291" max="1291" width="0" style="2" hidden="1" customWidth="1"/>
    <col min="1292" max="1292" width="9.1796875" style="2" bestFit="1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58.1796875" style="2" customWidth="1"/>
    <col min="1540" max="1540" width="19.54296875" style="2" customWidth="1"/>
    <col min="1541" max="1541" width="23.7265625" style="2" customWidth="1"/>
    <col min="1542" max="1546" width="19.54296875" style="2" customWidth="1"/>
    <col min="1547" max="1547" width="0" style="2" hidden="1" customWidth="1"/>
    <col min="1548" max="1548" width="9.1796875" style="2" bestFit="1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58.1796875" style="2" customWidth="1"/>
    <col min="1796" max="1796" width="19.54296875" style="2" customWidth="1"/>
    <col min="1797" max="1797" width="23.7265625" style="2" customWidth="1"/>
    <col min="1798" max="1802" width="19.54296875" style="2" customWidth="1"/>
    <col min="1803" max="1803" width="0" style="2" hidden="1" customWidth="1"/>
    <col min="1804" max="1804" width="9.1796875" style="2" bestFit="1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58.1796875" style="2" customWidth="1"/>
    <col min="2052" max="2052" width="19.54296875" style="2" customWidth="1"/>
    <col min="2053" max="2053" width="23.7265625" style="2" customWidth="1"/>
    <col min="2054" max="2058" width="19.54296875" style="2" customWidth="1"/>
    <col min="2059" max="2059" width="0" style="2" hidden="1" customWidth="1"/>
    <col min="2060" max="2060" width="9.1796875" style="2" bestFit="1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58.1796875" style="2" customWidth="1"/>
    <col min="2308" max="2308" width="19.54296875" style="2" customWidth="1"/>
    <col min="2309" max="2309" width="23.7265625" style="2" customWidth="1"/>
    <col min="2310" max="2314" width="19.54296875" style="2" customWidth="1"/>
    <col min="2315" max="2315" width="0" style="2" hidden="1" customWidth="1"/>
    <col min="2316" max="2316" width="9.1796875" style="2" bestFit="1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58.1796875" style="2" customWidth="1"/>
    <col min="2564" max="2564" width="19.54296875" style="2" customWidth="1"/>
    <col min="2565" max="2565" width="23.7265625" style="2" customWidth="1"/>
    <col min="2566" max="2570" width="19.54296875" style="2" customWidth="1"/>
    <col min="2571" max="2571" width="0" style="2" hidden="1" customWidth="1"/>
    <col min="2572" max="2572" width="9.1796875" style="2" bestFit="1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58.1796875" style="2" customWidth="1"/>
    <col min="2820" max="2820" width="19.54296875" style="2" customWidth="1"/>
    <col min="2821" max="2821" width="23.7265625" style="2" customWidth="1"/>
    <col min="2822" max="2826" width="19.54296875" style="2" customWidth="1"/>
    <col min="2827" max="2827" width="0" style="2" hidden="1" customWidth="1"/>
    <col min="2828" max="2828" width="9.1796875" style="2" bestFit="1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58.1796875" style="2" customWidth="1"/>
    <col min="3076" max="3076" width="19.54296875" style="2" customWidth="1"/>
    <col min="3077" max="3077" width="23.7265625" style="2" customWidth="1"/>
    <col min="3078" max="3082" width="19.54296875" style="2" customWidth="1"/>
    <col min="3083" max="3083" width="0" style="2" hidden="1" customWidth="1"/>
    <col min="3084" max="3084" width="9.1796875" style="2" bestFit="1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58.1796875" style="2" customWidth="1"/>
    <col min="3332" max="3332" width="19.54296875" style="2" customWidth="1"/>
    <col min="3333" max="3333" width="23.7265625" style="2" customWidth="1"/>
    <col min="3334" max="3338" width="19.54296875" style="2" customWidth="1"/>
    <col min="3339" max="3339" width="0" style="2" hidden="1" customWidth="1"/>
    <col min="3340" max="3340" width="9.1796875" style="2" bestFit="1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58.1796875" style="2" customWidth="1"/>
    <col min="3588" max="3588" width="19.54296875" style="2" customWidth="1"/>
    <col min="3589" max="3589" width="23.7265625" style="2" customWidth="1"/>
    <col min="3590" max="3594" width="19.54296875" style="2" customWidth="1"/>
    <col min="3595" max="3595" width="0" style="2" hidden="1" customWidth="1"/>
    <col min="3596" max="3596" width="9.1796875" style="2" bestFit="1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58.1796875" style="2" customWidth="1"/>
    <col min="3844" max="3844" width="19.54296875" style="2" customWidth="1"/>
    <col min="3845" max="3845" width="23.7265625" style="2" customWidth="1"/>
    <col min="3846" max="3850" width="19.54296875" style="2" customWidth="1"/>
    <col min="3851" max="3851" width="0" style="2" hidden="1" customWidth="1"/>
    <col min="3852" max="3852" width="9.1796875" style="2" bestFit="1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58.1796875" style="2" customWidth="1"/>
    <col min="4100" max="4100" width="19.54296875" style="2" customWidth="1"/>
    <col min="4101" max="4101" width="23.7265625" style="2" customWidth="1"/>
    <col min="4102" max="4106" width="19.54296875" style="2" customWidth="1"/>
    <col min="4107" max="4107" width="0" style="2" hidden="1" customWidth="1"/>
    <col min="4108" max="4108" width="9.1796875" style="2" bestFit="1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58.1796875" style="2" customWidth="1"/>
    <col min="4356" max="4356" width="19.54296875" style="2" customWidth="1"/>
    <col min="4357" max="4357" width="23.7265625" style="2" customWidth="1"/>
    <col min="4358" max="4362" width="19.54296875" style="2" customWidth="1"/>
    <col min="4363" max="4363" width="0" style="2" hidden="1" customWidth="1"/>
    <col min="4364" max="4364" width="9.1796875" style="2" bestFit="1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58.1796875" style="2" customWidth="1"/>
    <col min="4612" max="4612" width="19.54296875" style="2" customWidth="1"/>
    <col min="4613" max="4613" width="23.7265625" style="2" customWidth="1"/>
    <col min="4614" max="4618" width="19.54296875" style="2" customWidth="1"/>
    <col min="4619" max="4619" width="0" style="2" hidden="1" customWidth="1"/>
    <col min="4620" max="4620" width="9.1796875" style="2" bestFit="1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58.1796875" style="2" customWidth="1"/>
    <col min="4868" max="4868" width="19.54296875" style="2" customWidth="1"/>
    <col min="4869" max="4869" width="23.7265625" style="2" customWidth="1"/>
    <col min="4870" max="4874" width="19.54296875" style="2" customWidth="1"/>
    <col min="4875" max="4875" width="0" style="2" hidden="1" customWidth="1"/>
    <col min="4876" max="4876" width="9.1796875" style="2" bestFit="1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58.1796875" style="2" customWidth="1"/>
    <col min="5124" max="5124" width="19.54296875" style="2" customWidth="1"/>
    <col min="5125" max="5125" width="23.7265625" style="2" customWidth="1"/>
    <col min="5126" max="5130" width="19.54296875" style="2" customWidth="1"/>
    <col min="5131" max="5131" width="0" style="2" hidden="1" customWidth="1"/>
    <col min="5132" max="5132" width="9.1796875" style="2" bestFit="1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58.1796875" style="2" customWidth="1"/>
    <col min="5380" max="5380" width="19.54296875" style="2" customWidth="1"/>
    <col min="5381" max="5381" width="23.7265625" style="2" customWidth="1"/>
    <col min="5382" max="5386" width="19.54296875" style="2" customWidth="1"/>
    <col min="5387" max="5387" width="0" style="2" hidden="1" customWidth="1"/>
    <col min="5388" max="5388" width="9.1796875" style="2" bestFit="1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58.1796875" style="2" customWidth="1"/>
    <col min="5636" max="5636" width="19.54296875" style="2" customWidth="1"/>
    <col min="5637" max="5637" width="23.7265625" style="2" customWidth="1"/>
    <col min="5638" max="5642" width="19.54296875" style="2" customWidth="1"/>
    <col min="5643" max="5643" width="0" style="2" hidden="1" customWidth="1"/>
    <col min="5644" max="5644" width="9.1796875" style="2" bestFit="1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58.1796875" style="2" customWidth="1"/>
    <col min="5892" max="5892" width="19.54296875" style="2" customWidth="1"/>
    <col min="5893" max="5893" width="23.7265625" style="2" customWidth="1"/>
    <col min="5894" max="5898" width="19.54296875" style="2" customWidth="1"/>
    <col min="5899" max="5899" width="0" style="2" hidden="1" customWidth="1"/>
    <col min="5900" max="5900" width="9.1796875" style="2" bestFit="1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58.1796875" style="2" customWidth="1"/>
    <col min="6148" max="6148" width="19.54296875" style="2" customWidth="1"/>
    <col min="6149" max="6149" width="23.7265625" style="2" customWidth="1"/>
    <col min="6150" max="6154" width="19.54296875" style="2" customWidth="1"/>
    <col min="6155" max="6155" width="0" style="2" hidden="1" customWidth="1"/>
    <col min="6156" max="6156" width="9.1796875" style="2" bestFit="1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58.1796875" style="2" customWidth="1"/>
    <col min="6404" max="6404" width="19.54296875" style="2" customWidth="1"/>
    <col min="6405" max="6405" width="23.7265625" style="2" customWidth="1"/>
    <col min="6406" max="6410" width="19.54296875" style="2" customWidth="1"/>
    <col min="6411" max="6411" width="0" style="2" hidden="1" customWidth="1"/>
    <col min="6412" max="6412" width="9.1796875" style="2" bestFit="1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58.1796875" style="2" customWidth="1"/>
    <col min="6660" max="6660" width="19.54296875" style="2" customWidth="1"/>
    <col min="6661" max="6661" width="23.7265625" style="2" customWidth="1"/>
    <col min="6662" max="6666" width="19.54296875" style="2" customWidth="1"/>
    <col min="6667" max="6667" width="0" style="2" hidden="1" customWidth="1"/>
    <col min="6668" max="6668" width="9.1796875" style="2" bestFit="1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58.1796875" style="2" customWidth="1"/>
    <col min="6916" max="6916" width="19.54296875" style="2" customWidth="1"/>
    <col min="6917" max="6917" width="23.7265625" style="2" customWidth="1"/>
    <col min="6918" max="6922" width="19.54296875" style="2" customWidth="1"/>
    <col min="6923" max="6923" width="0" style="2" hidden="1" customWidth="1"/>
    <col min="6924" max="6924" width="9.1796875" style="2" bestFit="1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58.1796875" style="2" customWidth="1"/>
    <col min="7172" max="7172" width="19.54296875" style="2" customWidth="1"/>
    <col min="7173" max="7173" width="23.7265625" style="2" customWidth="1"/>
    <col min="7174" max="7178" width="19.54296875" style="2" customWidth="1"/>
    <col min="7179" max="7179" width="0" style="2" hidden="1" customWidth="1"/>
    <col min="7180" max="7180" width="9.1796875" style="2" bestFit="1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58.1796875" style="2" customWidth="1"/>
    <col min="7428" max="7428" width="19.54296875" style="2" customWidth="1"/>
    <col min="7429" max="7429" width="23.7265625" style="2" customWidth="1"/>
    <col min="7430" max="7434" width="19.54296875" style="2" customWidth="1"/>
    <col min="7435" max="7435" width="0" style="2" hidden="1" customWidth="1"/>
    <col min="7436" max="7436" width="9.1796875" style="2" bestFit="1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58.1796875" style="2" customWidth="1"/>
    <col min="7684" max="7684" width="19.54296875" style="2" customWidth="1"/>
    <col min="7685" max="7685" width="23.7265625" style="2" customWidth="1"/>
    <col min="7686" max="7690" width="19.54296875" style="2" customWidth="1"/>
    <col min="7691" max="7691" width="0" style="2" hidden="1" customWidth="1"/>
    <col min="7692" max="7692" width="9.1796875" style="2" bestFit="1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58.1796875" style="2" customWidth="1"/>
    <col min="7940" max="7940" width="19.54296875" style="2" customWidth="1"/>
    <col min="7941" max="7941" width="23.7265625" style="2" customWidth="1"/>
    <col min="7942" max="7946" width="19.54296875" style="2" customWidth="1"/>
    <col min="7947" max="7947" width="0" style="2" hidden="1" customWidth="1"/>
    <col min="7948" max="7948" width="9.1796875" style="2" bestFit="1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58.1796875" style="2" customWidth="1"/>
    <col min="8196" max="8196" width="19.54296875" style="2" customWidth="1"/>
    <col min="8197" max="8197" width="23.7265625" style="2" customWidth="1"/>
    <col min="8198" max="8202" width="19.54296875" style="2" customWidth="1"/>
    <col min="8203" max="8203" width="0" style="2" hidden="1" customWidth="1"/>
    <col min="8204" max="8204" width="9.1796875" style="2" bestFit="1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58.1796875" style="2" customWidth="1"/>
    <col min="8452" max="8452" width="19.54296875" style="2" customWidth="1"/>
    <col min="8453" max="8453" width="23.7265625" style="2" customWidth="1"/>
    <col min="8454" max="8458" width="19.54296875" style="2" customWidth="1"/>
    <col min="8459" max="8459" width="0" style="2" hidden="1" customWidth="1"/>
    <col min="8460" max="8460" width="9.1796875" style="2" bestFit="1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58.1796875" style="2" customWidth="1"/>
    <col min="8708" max="8708" width="19.54296875" style="2" customWidth="1"/>
    <col min="8709" max="8709" width="23.7265625" style="2" customWidth="1"/>
    <col min="8710" max="8714" width="19.54296875" style="2" customWidth="1"/>
    <col min="8715" max="8715" width="0" style="2" hidden="1" customWidth="1"/>
    <col min="8716" max="8716" width="9.1796875" style="2" bestFit="1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58.1796875" style="2" customWidth="1"/>
    <col min="8964" max="8964" width="19.54296875" style="2" customWidth="1"/>
    <col min="8965" max="8965" width="23.7265625" style="2" customWidth="1"/>
    <col min="8966" max="8970" width="19.54296875" style="2" customWidth="1"/>
    <col min="8971" max="8971" width="0" style="2" hidden="1" customWidth="1"/>
    <col min="8972" max="8972" width="9.1796875" style="2" bestFit="1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58.1796875" style="2" customWidth="1"/>
    <col min="9220" max="9220" width="19.54296875" style="2" customWidth="1"/>
    <col min="9221" max="9221" width="23.7265625" style="2" customWidth="1"/>
    <col min="9222" max="9226" width="19.54296875" style="2" customWidth="1"/>
    <col min="9227" max="9227" width="0" style="2" hidden="1" customWidth="1"/>
    <col min="9228" max="9228" width="9.1796875" style="2" bestFit="1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58.1796875" style="2" customWidth="1"/>
    <col min="9476" max="9476" width="19.54296875" style="2" customWidth="1"/>
    <col min="9477" max="9477" width="23.7265625" style="2" customWidth="1"/>
    <col min="9478" max="9482" width="19.54296875" style="2" customWidth="1"/>
    <col min="9483" max="9483" width="0" style="2" hidden="1" customWidth="1"/>
    <col min="9484" max="9484" width="9.1796875" style="2" bestFit="1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58.1796875" style="2" customWidth="1"/>
    <col min="9732" max="9732" width="19.54296875" style="2" customWidth="1"/>
    <col min="9733" max="9733" width="23.7265625" style="2" customWidth="1"/>
    <col min="9734" max="9738" width="19.54296875" style="2" customWidth="1"/>
    <col min="9739" max="9739" width="0" style="2" hidden="1" customWidth="1"/>
    <col min="9740" max="9740" width="9.1796875" style="2" bestFit="1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58.1796875" style="2" customWidth="1"/>
    <col min="9988" max="9988" width="19.54296875" style="2" customWidth="1"/>
    <col min="9989" max="9989" width="23.7265625" style="2" customWidth="1"/>
    <col min="9990" max="9994" width="19.54296875" style="2" customWidth="1"/>
    <col min="9995" max="9995" width="0" style="2" hidden="1" customWidth="1"/>
    <col min="9996" max="9996" width="9.1796875" style="2" bestFit="1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58.1796875" style="2" customWidth="1"/>
    <col min="10244" max="10244" width="19.54296875" style="2" customWidth="1"/>
    <col min="10245" max="10245" width="23.7265625" style="2" customWidth="1"/>
    <col min="10246" max="10250" width="19.54296875" style="2" customWidth="1"/>
    <col min="10251" max="10251" width="0" style="2" hidden="1" customWidth="1"/>
    <col min="10252" max="10252" width="9.1796875" style="2" bestFit="1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58.1796875" style="2" customWidth="1"/>
    <col min="10500" max="10500" width="19.54296875" style="2" customWidth="1"/>
    <col min="10501" max="10501" width="23.7265625" style="2" customWidth="1"/>
    <col min="10502" max="10506" width="19.54296875" style="2" customWidth="1"/>
    <col min="10507" max="10507" width="0" style="2" hidden="1" customWidth="1"/>
    <col min="10508" max="10508" width="9.1796875" style="2" bestFit="1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58.1796875" style="2" customWidth="1"/>
    <col min="10756" max="10756" width="19.54296875" style="2" customWidth="1"/>
    <col min="10757" max="10757" width="23.7265625" style="2" customWidth="1"/>
    <col min="10758" max="10762" width="19.54296875" style="2" customWidth="1"/>
    <col min="10763" max="10763" width="0" style="2" hidden="1" customWidth="1"/>
    <col min="10764" max="10764" width="9.1796875" style="2" bestFit="1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58.1796875" style="2" customWidth="1"/>
    <col min="11012" max="11012" width="19.54296875" style="2" customWidth="1"/>
    <col min="11013" max="11013" width="23.7265625" style="2" customWidth="1"/>
    <col min="11014" max="11018" width="19.54296875" style="2" customWidth="1"/>
    <col min="11019" max="11019" width="0" style="2" hidden="1" customWidth="1"/>
    <col min="11020" max="11020" width="9.1796875" style="2" bestFit="1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58.1796875" style="2" customWidth="1"/>
    <col min="11268" max="11268" width="19.54296875" style="2" customWidth="1"/>
    <col min="11269" max="11269" width="23.7265625" style="2" customWidth="1"/>
    <col min="11270" max="11274" width="19.54296875" style="2" customWidth="1"/>
    <col min="11275" max="11275" width="0" style="2" hidden="1" customWidth="1"/>
    <col min="11276" max="11276" width="9.1796875" style="2" bestFit="1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58.1796875" style="2" customWidth="1"/>
    <col min="11524" max="11524" width="19.54296875" style="2" customWidth="1"/>
    <col min="11525" max="11525" width="23.7265625" style="2" customWidth="1"/>
    <col min="11526" max="11530" width="19.54296875" style="2" customWidth="1"/>
    <col min="11531" max="11531" width="0" style="2" hidden="1" customWidth="1"/>
    <col min="11532" max="11532" width="9.1796875" style="2" bestFit="1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58.1796875" style="2" customWidth="1"/>
    <col min="11780" max="11780" width="19.54296875" style="2" customWidth="1"/>
    <col min="11781" max="11781" width="23.7265625" style="2" customWidth="1"/>
    <col min="11782" max="11786" width="19.54296875" style="2" customWidth="1"/>
    <col min="11787" max="11787" width="0" style="2" hidden="1" customWidth="1"/>
    <col min="11788" max="11788" width="9.1796875" style="2" bestFit="1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58.1796875" style="2" customWidth="1"/>
    <col min="12036" max="12036" width="19.54296875" style="2" customWidth="1"/>
    <col min="12037" max="12037" width="23.7265625" style="2" customWidth="1"/>
    <col min="12038" max="12042" width="19.54296875" style="2" customWidth="1"/>
    <col min="12043" max="12043" width="0" style="2" hidden="1" customWidth="1"/>
    <col min="12044" max="12044" width="9.1796875" style="2" bestFit="1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58.1796875" style="2" customWidth="1"/>
    <col min="12292" max="12292" width="19.54296875" style="2" customWidth="1"/>
    <col min="12293" max="12293" width="23.7265625" style="2" customWidth="1"/>
    <col min="12294" max="12298" width="19.54296875" style="2" customWidth="1"/>
    <col min="12299" max="12299" width="0" style="2" hidden="1" customWidth="1"/>
    <col min="12300" max="12300" width="9.1796875" style="2" bestFit="1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58.1796875" style="2" customWidth="1"/>
    <col min="12548" max="12548" width="19.54296875" style="2" customWidth="1"/>
    <col min="12549" max="12549" width="23.7265625" style="2" customWidth="1"/>
    <col min="12550" max="12554" width="19.54296875" style="2" customWidth="1"/>
    <col min="12555" max="12555" width="0" style="2" hidden="1" customWidth="1"/>
    <col min="12556" max="12556" width="9.1796875" style="2" bestFit="1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58.1796875" style="2" customWidth="1"/>
    <col min="12804" max="12804" width="19.54296875" style="2" customWidth="1"/>
    <col min="12805" max="12805" width="23.7265625" style="2" customWidth="1"/>
    <col min="12806" max="12810" width="19.54296875" style="2" customWidth="1"/>
    <col min="12811" max="12811" width="0" style="2" hidden="1" customWidth="1"/>
    <col min="12812" max="12812" width="9.1796875" style="2" bestFit="1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58.1796875" style="2" customWidth="1"/>
    <col min="13060" max="13060" width="19.54296875" style="2" customWidth="1"/>
    <col min="13061" max="13061" width="23.7265625" style="2" customWidth="1"/>
    <col min="13062" max="13066" width="19.54296875" style="2" customWidth="1"/>
    <col min="13067" max="13067" width="0" style="2" hidden="1" customWidth="1"/>
    <col min="13068" max="13068" width="9.1796875" style="2" bestFit="1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58.1796875" style="2" customWidth="1"/>
    <col min="13316" max="13316" width="19.54296875" style="2" customWidth="1"/>
    <col min="13317" max="13317" width="23.7265625" style="2" customWidth="1"/>
    <col min="13318" max="13322" width="19.54296875" style="2" customWidth="1"/>
    <col min="13323" max="13323" width="0" style="2" hidden="1" customWidth="1"/>
    <col min="13324" max="13324" width="9.1796875" style="2" bestFit="1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58.1796875" style="2" customWidth="1"/>
    <col min="13572" max="13572" width="19.54296875" style="2" customWidth="1"/>
    <col min="13573" max="13573" width="23.7265625" style="2" customWidth="1"/>
    <col min="13574" max="13578" width="19.54296875" style="2" customWidth="1"/>
    <col min="13579" max="13579" width="0" style="2" hidden="1" customWidth="1"/>
    <col min="13580" max="13580" width="9.1796875" style="2" bestFit="1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58.1796875" style="2" customWidth="1"/>
    <col min="13828" max="13828" width="19.54296875" style="2" customWidth="1"/>
    <col min="13829" max="13829" width="23.7265625" style="2" customWidth="1"/>
    <col min="13830" max="13834" width="19.54296875" style="2" customWidth="1"/>
    <col min="13835" max="13835" width="0" style="2" hidden="1" customWidth="1"/>
    <col min="13836" max="13836" width="9.1796875" style="2" bestFit="1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58.1796875" style="2" customWidth="1"/>
    <col min="14084" max="14084" width="19.54296875" style="2" customWidth="1"/>
    <col min="14085" max="14085" width="23.7265625" style="2" customWidth="1"/>
    <col min="14086" max="14090" width="19.54296875" style="2" customWidth="1"/>
    <col min="14091" max="14091" width="0" style="2" hidden="1" customWidth="1"/>
    <col min="14092" max="14092" width="9.1796875" style="2" bestFit="1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58.1796875" style="2" customWidth="1"/>
    <col min="14340" max="14340" width="19.54296875" style="2" customWidth="1"/>
    <col min="14341" max="14341" width="23.7265625" style="2" customWidth="1"/>
    <col min="14342" max="14346" width="19.54296875" style="2" customWidth="1"/>
    <col min="14347" max="14347" width="0" style="2" hidden="1" customWidth="1"/>
    <col min="14348" max="14348" width="9.1796875" style="2" bestFit="1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58.1796875" style="2" customWidth="1"/>
    <col min="14596" max="14596" width="19.54296875" style="2" customWidth="1"/>
    <col min="14597" max="14597" width="23.7265625" style="2" customWidth="1"/>
    <col min="14598" max="14602" width="19.54296875" style="2" customWidth="1"/>
    <col min="14603" max="14603" width="0" style="2" hidden="1" customWidth="1"/>
    <col min="14604" max="14604" width="9.1796875" style="2" bestFit="1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58.1796875" style="2" customWidth="1"/>
    <col min="14852" max="14852" width="19.54296875" style="2" customWidth="1"/>
    <col min="14853" max="14853" width="23.7265625" style="2" customWidth="1"/>
    <col min="14854" max="14858" width="19.54296875" style="2" customWidth="1"/>
    <col min="14859" max="14859" width="0" style="2" hidden="1" customWidth="1"/>
    <col min="14860" max="14860" width="9.1796875" style="2" bestFit="1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58.1796875" style="2" customWidth="1"/>
    <col min="15108" max="15108" width="19.54296875" style="2" customWidth="1"/>
    <col min="15109" max="15109" width="23.7265625" style="2" customWidth="1"/>
    <col min="15110" max="15114" width="19.54296875" style="2" customWidth="1"/>
    <col min="15115" max="15115" width="0" style="2" hidden="1" customWidth="1"/>
    <col min="15116" max="15116" width="9.1796875" style="2" bestFit="1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58.1796875" style="2" customWidth="1"/>
    <col min="15364" max="15364" width="19.54296875" style="2" customWidth="1"/>
    <col min="15365" max="15365" width="23.7265625" style="2" customWidth="1"/>
    <col min="15366" max="15370" width="19.54296875" style="2" customWidth="1"/>
    <col min="15371" max="15371" width="0" style="2" hidden="1" customWidth="1"/>
    <col min="15372" max="15372" width="9.1796875" style="2" bestFit="1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58.1796875" style="2" customWidth="1"/>
    <col min="15620" max="15620" width="19.54296875" style="2" customWidth="1"/>
    <col min="15621" max="15621" width="23.7265625" style="2" customWidth="1"/>
    <col min="15622" max="15626" width="19.54296875" style="2" customWidth="1"/>
    <col min="15627" max="15627" width="0" style="2" hidden="1" customWidth="1"/>
    <col min="15628" max="15628" width="9.1796875" style="2" bestFit="1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58.1796875" style="2" customWidth="1"/>
    <col min="15876" max="15876" width="19.54296875" style="2" customWidth="1"/>
    <col min="15877" max="15877" width="23.7265625" style="2" customWidth="1"/>
    <col min="15878" max="15882" width="19.54296875" style="2" customWidth="1"/>
    <col min="15883" max="15883" width="0" style="2" hidden="1" customWidth="1"/>
    <col min="15884" max="15884" width="9.1796875" style="2" bestFit="1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58.1796875" style="2" customWidth="1"/>
    <col min="16132" max="16132" width="19.54296875" style="2" customWidth="1"/>
    <col min="16133" max="16133" width="23.7265625" style="2" customWidth="1"/>
    <col min="16134" max="16138" width="19.54296875" style="2" customWidth="1"/>
    <col min="16139" max="16139" width="0" style="2" hidden="1" customWidth="1"/>
    <col min="16140" max="16140" width="9.1796875" style="2" bestFit="1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87" t="s">
        <v>0</v>
      </c>
      <c r="D2" s="88"/>
      <c r="E2" s="88"/>
      <c r="F2" s="88"/>
      <c r="G2" s="88"/>
      <c r="H2" s="88"/>
      <c r="I2" s="88"/>
      <c r="J2" s="89"/>
    </row>
    <row r="3" spans="1:54" x14ac:dyDescent="0.35">
      <c r="C3" s="7" t="s">
        <v>1</v>
      </c>
      <c r="D3" s="78" t="s">
        <v>2</v>
      </c>
      <c r="E3" s="79"/>
      <c r="F3" s="79"/>
      <c r="G3" s="79"/>
      <c r="H3" s="79"/>
      <c r="I3" s="79"/>
      <c r="J3" s="80"/>
    </row>
    <row r="4" spans="1:54" ht="14" thickBot="1" x14ac:dyDescent="0.4">
      <c r="C4" s="8" t="s">
        <v>3</v>
      </c>
      <c r="D4" s="81">
        <v>45808</v>
      </c>
      <c r="E4" s="82"/>
      <c r="F4" s="82"/>
      <c r="G4" s="82"/>
      <c r="H4" s="82"/>
      <c r="I4" s="82"/>
      <c r="J4" s="83"/>
    </row>
    <row r="5" spans="1:54" ht="14" thickBot="1" x14ac:dyDescent="0.4">
      <c r="C5" s="9"/>
    </row>
    <row r="6" spans="1:54" ht="26" x14ac:dyDescent="0.35">
      <c r="C6" s="90" t="s">
        <v>4</v>
      </c>
      <c r="D6" s="91" t="s">
        <v>5</v>
      </c>
      <c r="E6" s="92" t="s">
        <v>6</v>
      </c>
      <c r="F6" s="93" t="s">
        <v>7</v>
      </c>
      <c r="G6" s="94" t="s">
        <v>8</v>
      </c>
      <c r="H6" s="94" t="s">
        <v>9</v>
      </c>
      <c r="I6" s="95" t="s">
        <v>10</v>
      </c>
      <c r="J6" s="96" t="s">
        <v>11</v>
      </c>
      <c r="K6" s="12" t="s">
        <v>12</v>
      </c>
    </row>
    <row r="7" spans="1:54" x14ac:dyDescent="0.35">
      <c r="C7" s="13"/>
      <c r="D7" s="14"/>
      <c r="E7" s="15"/>
      <c r="F7" s="16"/>
      <c r="G7" s="17"/>
      <c r="H7" s="17"/>
      <c r="I7" s="18"/>
      <c r="J7" s="19"/>
      <c r="K7" s="20"/>
    </row>
    <row r="8" spans="1:54" x14ac:dyDescent="0.35">
      <c r="C8" s="21" t="s">
        <v>13</v>
      </c>
      <c r="D8" s="22"/>
      <c r="E8" s="23"/>
      <c r="F8" s="24"/>
      <c r="G8" s="25"/>
      <c r="H8" s="25"/>
      <c r="I8" s="26"/>
      <c r="J8" s="27"/>
      <c r="K8" s="28"/>
    </row>
    <row r="9" spans="1:54" x14ac:dyDescent="0.35">
      <c r="C9" s="29" t="s">
        <v>14</v>
      </c>
      <c r="D9" s="22"/>
      <c r="E9" s="23"/>
      <c r="F9" s="24"/>
      <c r="G9" s="25"/>
      <c r="H9" s="25"/>
      <c r="I9" s="26"/>
      <c r="J9" s="27"/>
      <c r="K9" s="28"/>
    </row>
    <row r="10" spans="1:54" x14ac:dyDescent="0.35">
      <c r="C10" s="13" t="s">
        <v>15</v>
      </c>
      <c r="D10" s="22" t="s">
        <v>16</v>
      </c>
      <c r="E10" s="23" t="s">
        <v>17</v>
      </c>
      <c r="F10" s="24">
        <v>1738</v>
      </c>
      <c r="G10" s="25">
        <v>335.4</v>
      </c>
      <c r="H10" s="25">
        <v>3.43</v>
      </c>
      <c r="I10" s="26"/>
      <c r="J10" s="27"/>
      <c r="K10" s="28"/>
    </row>
    <row r="11" spans="1:54" x14ac:dyDescent="0.35">
      <c r="C11" s="13" t="s">
        <v>18</v>
      </c>
      <c r="D11" s="22" t="s">
        <v>19</v>
      </c>
      <c r="E11" s="23" t="s">
        <v>20</v>
      </c>
      <c r="F11" s="24">
        <v>27289</v>
      </c>
      <c r="G11" s="25">
        <v>242.99</v>
      </c>
      <c r="H11" s="25">
        <v>2.4900000000000002</v>
      </c>
      <c r="I11" s="26"/>
      <c r="J11" s="27"/>
      <c r="K11" s="28"/>
    </row>
    <row r="12" spans="1:54" x14ac:dyDescent="0.35">
      <c r="A12" s="30"/>
      <c r="B12" s="31"/>
      <c r="C12" s="13" t="s">
        <v>21</v>
      </c>
      <c r="D12" s="22" t="s">
        <v>22</v>
      </c>
      <c r="E12" s="23" t="s">
        <v>23</v>
      </c>
      <c r="F12" s="24">
        <v>13195</v>
      </c>
      <c r="G12" s="25">
        <v>241.56</v>
      </c>
      <c r="H12" s="25">
        <v>2.4700000000000002</v>
      </c>
      <c r="I12" s="26"/>
      <c r="J12" s="27"/>
      <c r="K12" s="28"/>
    </row>
    <row r="13" spans="1:54" x14ac:dyDescent="0.35">
      <c r="C13" s="13" t="s">
        <v>24</v>
      </c>
      <c r="D13" s="22" t="s">
        <v>25</v>
      </c>
      <c r="E13" s="23" t="s">
        <v>26</v>
      </c>
      <c r="F13" s="24">
        <v>15983</v>
      </c>
      <c r="G13" s="25">
        <v>240.18</v>
      </c>
      <c r="H13" s="25">
        <v>2.46</v>
      </c>
      <c r="I13" s="26"/>
      <c r="J13" s="27"/>
      <c r="K13" s="28"/>
    </row>
    <row r="14" spans="1:54" x14ac:dyDescent="0.35">
      <c r="B14" s="1" t="s">
        <v>27</v>
      </c>
      <c r="C14" s="13" t="s">
        <v>28</v>
      </c>
      <c r="D14" s="22" t="s">
        <v>29</v>
      </c>
      <c r="E14" s="23" t="s">
        <v>30</v>
      </c>
      <c r="F14" s="24">
        <v>32404</v>
      </c>
      <c r="G14" s="25">
        <v>240.1</v>
      </c>
      <c r="H14" s="25">
        <v>2.46</v>
      </c>
      <c r="I14" s="26"/>
      <c r="J14" s="27"/>
      <c r="K14" s="28"/>
    </row>
    <row r="15" spans="1:54" x14ac:dyDescent="0.35">
      <c r="B15" s="1" t="s">
        <v>31</v>
      </c>
      <c r="C15" s="13" t="s">
        <v>32</v>
      </c>
      <c r="D15" s="22" t="s">
        <v>33</v>
      </c>
      <c r="E15" s="23" t="s">
        <v>30</v>
      </c>
      <c r="F15" s="24">
        <v>4929</v>
      </c>
      <c r="G15" s="25">
        <v>235.75</v>
      </c>
      <c r="H15" s="25">
        <v>2.41</v>
      </c>
      <c r="I15" s="26"/>
      <c r="J15" s="27"/>
      <c r="K15" s="28"/>
    </row>
    <row r="16" spans="1:54" x14ac:dyDescent="0.35">
      <c r="B16" s="1" t="s">
        <v>34</v>
      </c>
      <c r="C16" s="13" t="s">
        <v>35</v>
      </c>
      <c r="D16" s="22" t="s">
        <v>36</v>
      </c>
      <c r="E16" s="23" t="s">
        <v>37</v>
      </c>
      <c r="F16" s="24">
        <v>33300</v>
      </c>
      <c r="G16" s="25">
        <v>235.2</v>
      </c>
      <c r="H16" s="25">
        <v>2.41</v>
      </c>
      <c r="I16" s="26"/>
      <c r="J16" s="27"/>
      <c r="K16" s="28"/>
    </row>
    <row r="17" spans="2:11" x14ac:dyDescent="0.35">
      <c r="B17" s="1" t="s">
        <v>38</v>
      </c>
      <c r="C17" s="13" t="s">
        <v>39</v>
      </c>
      <c r="D17" s="22" t="s">
        <v>40</v>
      </c>
      <c r="E17" s="23" t="s">
        <v>20</v>
      </c>
      <c r="F17" s="24">
        <v>13349</v>
      </c>
      <c r="G17" s="25">
        <v>235.16</v>
      </c>
      <c r="H17" s="25">
        <v>2.41</v>
      </c>
      <c r="I17" s="26"/>
      <c r="J17" s="27"/>
      <c r="K17" s="28"/>
    </row>
    <row r="18" spans="2:11" x14ac:dyDescent="0.35">
      <c r="B18" s="1" t="s">
        <v>41</v>
      </c>
      <c r="C18" s="13" t="s">
        <v>42</v>
      </c>
      <c r="D18" s="22" t="s">
        <v>43</v>
      </c>
      <c r="E18" s="23" t="s">
        <v>30</v>
      </c>
      <c r="F18" s="24">
        <v>29016</v>
      </c>
      <c r="G18" s="25">
        <v>235</v>
      </c>
      <c r="H18" s="25">
        <v>2.41</v>
      </c>
      <c r="I18" s="26"/>
      <c r="J18" s="27"/>
      <c r="K18" s="28"/>
    </row>
    <row r="19" spans="2:11" x14ac:dyDescent="0.35">
      <c r="B19" s="1" t="s">
        <v>44</v>
      </c>
      <c r="C19" s="13" t="s">
        <v>45</v>
      </c>
      <c r="D19" s="22" t="s">
        <v>46</v>
      </c>
      <c r="E19" s="23" t="s">
        <v>47</v>
      </c>
      <c r="F19" s="24">
        <v>32685</v>
      </c>
      <c r="G19" s="25">
        <v>234.17</v>
      </c>
      <c r="H19" s="25">
        <v>2.4</v>
      </c>
      <c r="I19" s="26"/>
      <c r="J19" s="27"/>
      <c r="K19" s="28"/>
    </row>
    <row r="20" spans="2:11" x14ac:dyDescent="0.35">
      <c r="B20" s="1" t="s">
        <v>48</v>
      </c>
      <c r="C20" s="13" t="s">
        <v>49</v>
      </c>
      <c r="D20" s="22" t="s">
        <v>50</v>
      </c>
      <c r="E20" s="23" t="s">
        <v>51</v>
      </c>
      <c r="F20" s="24">
        <v>55424</v>
      </c>
      <c r="G20" s="25">
        <v>227.82</v>
      </c>
      <c r="H20" s="25">
        <v>2.33</v>
      </c>
      <c r="I20" s="26"/>
      <c r="J20" s="27"/>
      <c r="K20" s="28"/>
    </row>
    <row r="21" spans="2:11" x14ac:dyDescent="0.35">
      <c r="B21" s="1" t="s">
        <v>52</v>
      </c>
      <c r="C21" s="13" t="s">
        <v>53</v>
      </c>
      <c r="D21" s="22" t="s">
        <v>54</v>
      </c>
      <c r="E21" s="23" t="s">
        <v>55</v>
      </c>
      <c r="F21" s="24">
        <v>97182</v>
      </c>
      <c r="G21" s="25">
        <v>216.24</v>
      </c>
      <c r="H21" s="25">
        <v>2.21</v>
      </c>
      <c r="I21" s="26"/>
      <c r="J21" s="27"/>
      <c r="K21" s="28"/>
    </row>
    <row r="22" spans="2:11" x14ac:dyDescent="0.35">
      <c r="B22" s="1" t="s">
        <v>56</v>
      </c>
      <c r="C22" s="13" t="s">
        <v>57</v>
      </c>
      <c r="D22" s="22" t="s">
        <v>58</v>
      </c>
      <c r="E22" s="23" t="s">
        <v>59</v>
      </c>
      <c r="F22" s="24">
        <v>21630</v>
      </c>
      <c r="G22" s="25">
        <v>214.32</v>
      </c>
      <c r="H22" s="25">
        <v>2.19</v>
      </c>
      <c r="I22" s="26"/>
      <c r="J22" s="27"/>
      <c r="K22" s="28"/>
    </row>
    <row r="23" spans="2:11" x14ac:dyDescent="0.35">
      <c r="B23" s="1" t="s">
        <v>60</v>
      </c>
      <c r="C23" s="13" t="s">
        <v>61</v>
      </c>
      <c r="D23" s="22" t="s">
        <v>62</v>
      </c>
      <c r="E23" s="23" t="s">
        <v>63</v>
      </c>
      <c r="F23" s="24">
        <v>5095</v>
      </c>
      <c r="G23" s="25">
        <v>213.41</v>
      </c>
      <c r="H23" s="25">
        <v>2.19</v>
      </c>
      <c r="I23" s="26"/>
      <c r="J23" s="27"/>
      <c r="K23" s="28"/>
    </row>
    <row r="24" spans="2:11" x14ac:dyDescent="0.35">
      <c r="B24" s="1" t="s">
        <v>64</v>
      </c>
      <c r="C24" s="13" t="s">
        <v>65</v>
      </c>
      <c r="D24" s="22" t="s">
        <v>66</v>
      </c>
      <c r="E24" s="23" t="s">
        <v>67</v>
      </c>
      <c r="F24" s="24">
        <v>11760</v>
      </c>
      <c r="G24" s="25">
        <v>213.06</v>
      </c>
      <c r="H24" s="25">
        <v>2.1800000000000002</v>
      </c>
      <c r="I24" s="26"/>
      <c r="J24" s="27"/>
      <c r="K24" s="28"/>
    </row>
    <row r="25" spans="2:11" x14ac:dyDescent="0.35">
      <c r="B25" s="1" t="s">
        <v>68</v>
      </c>
      <c r="C25" s="13" t="s">
        <v>69</v>
      </c>
      <c r="D25" s="22" t="s">
        <v>70</v>
      </c>
      <c r="E25" s="23" t="s">
        <v>63</v>
      </c>
      <c r="F25" s="24">
        <v>20903</v>
      </c>
      <c r="G25" s="25">
        <v>210.42</v>
      </c>
      <c r="H25" s="25">
        <v>2.15</v>
      </c>
      <c r="I25" s="26"/>
      <c r="J25" s="27"/>
      <c r="K25" s="28"/>
    </row>
    <row r="26" spans="2:11" x14ac:dyDescent="0.35">
      <c r="B26" s="1" t="s">
        <v>71</v>
      </c>
      <c r="C26" s="13" t="s">
        <v>72</v>
      </c>
      <c r="D26" s="22" t="s">
        <v>73</v>
      </c>
      <c r="E26" s="23" t="s">
        <v>30</v>
      </c>
      <c r="F26" s="24">
        <v>20388</v>
      </c>
      <c r="G26" s="25">
        <v>203.36</v>
      </c>
      <c r="H26" s="25">
        <v>2.08</v>
      </c>
      <c r="I26" s="26"/>
      <c r="J26" s="27"/>
      <c r="K26" s="28"/>
    </row>
    <row r="27" spans="2:11" x14ac:dyDescent="0.35">
      <c r="B27" s="1" t="s">
        <v>74</v>
      </c>
      <c r="C27" s="13" t="s">
        <v>75</v>
      </c>
      <c r="D27" s="22" t="s">
        <v>76</v>
      </c>
      <c r="E27" s="23" t="s">
        <v>77</v>
      </c>
      <c r="F27" s="24">
        <v>100509</v>
      </c>
      <c r="G27" s="25">
        <v>203.09</v>
      </c>
      <c r="H27" s="25">
        <v>2.08</v>
      </c>
      <c r="I27" s="26"/>
      <c r="J27" s="27"/>
      <c r="K27" s="28"/>
    </row>
    <row r="28" spans="2:11" x14ac:dyDescent="0.35">
      <c r="B28" s="1" t="s">
        <v>78</v>
      </c>
      <c r="C28" s="13" t="s">
        <v>79</v>
      </c>
      <c r="D28" s="22" t="s">
        <v>80</v>
      </c>
      <c r="E28" s="23" t="s">
        <v>59</v>
      </c>
      <c r="F28" s="24">
        <v>17766</v>
      </c>
      <c r="G28" s="25">
        <v>200.13</v>
      </c>
      <c r="H28" s="25">
        <v>2.0499999999999998</v>
      </c>
      <c r="I28" s="26"/>
      <c r="J28" s="27"/>
      <c r="K28" s="28"/>
    </row>
    <row r="29" spans="2:11" x14ac:dyDescent="0.35">
      <c r="B29" s="1" t="s">
        <v>81</v>
      </c>
      <c r="C29" s="13" t="s">
        <v>82</v>
      </c>
      <c r="D29" s="22" t="s">
        <v>83</v>
      </c>
      <c r="E29" s="23" t="s">
        <v>84</v>
      </c>
      <c r="F29" s="24">
        <v>160261</v>
      </c>
      <c r="G29" s="25">
        <v>199.78</v>
      </c>
      <c r="H29" s="25">
        <v>2.0499999999999998</v>
      </c>
      <c r="I29" s="26"/>
      <c r="J29" s="27"/>
      <c r="K29" s="28"/>
    </row>
    <row r="30" spans="2:11" x14ac:dyDescent="0.35">
      <c r="B30" s="1" t="s">
        <v>85</v>
      </c>
      <c r="C30" s="13" t="s">
        <v>86</v>
      </c>
      <c r="D30" s="22" t="s">
        <v>87</v>
      </c>
      <c r="E30" s="23" t="s">
        <v>88</v>
      </c>
      <c r="F30" s="24">
        <v>25737</v>
      </c>
      <c r="G30" s="25">
        <v>198.14</v>
      </c>
      <c r="H30" s="25">
        <v>2.0299999999999998</v>
      </c>
      <c r="I30" s="26"/>
      <c r="J30" s="27"/>
      <c r="K30" s="28"/>
    </row>
    <row r="31" spans="2:11" x14ac:dyDescent="0.35">
      <c r="B31" s="1" t="s">
        <v>89</v>
      </c>
      <c r="C31" s="13" t="s">
        <v>90</v>
      </c>
      <c r="D31" s="22" t="s">
        <v>91</v>
      </c>
      <c r="E31" s="23" t="s">
        <v>77</v>
      </c>
      <c r="F31" s="24">
        <v>287971</v>
      </c>
      <c r="G31" s="25">
        <v>195.73</v>
      </c>
      <c r="H31" s="25">
        <v>2</v>
      </c>
      <c r="I31" s="26"/>
      <c r="J31" s="27"/>
      <c r="K31" s="28"/>
    </row>
    <row r="32" spans="2:11" x14ac:dyDescent="0.35">
      <c r="B32" s="1" t="s">
        <v>92</v>
      </c>
      <c r="C32" s="13" t="s">
        <v>93</v>
      </c>
      <c r="D32" s="22" t="s">
        <v>94</v>
      </c>
      <c r="E32" s="23" t="s">
        <v>95</v>
      </c>
      <c r="F32" s="24">
        <v>14603</v>
      </c>
      <c r="G32" s="25">
        <v>195.36</v>
      </c>
      <c r="H32" s="25">
        <v>2</v>
      </c>
      <c r="I32" s="26"/>
      <c r="J32" s="27"/>
      <c r="K32" s="28"/>
    </row>
    <row r="33" spans="2:11" x14ac:dyDescent="0.35">
      <c r="B33" s="1" t="s">
        <v>96</v>
      </c>
      <c r="C33" s="13" t="s">
        <v>97</v>
      </c>
      <c r="D33" s="22" t="s">
        <v>98</v>
      </c>
      <c r="E33" s="23" t="s">
        <v>88</v>
      </c>
      <c r="F33" s="24">
        <v>89578</v>
      </c>
      <c r="G33" s="25">
        <v>193.91</v>
      </c>
      <c r="H33" s="25">
        <v>1.99</v>
      </c>
      <c r="I33" s="26"/>
      <c r="J33" s="27"/>
      <c r="K33" s="28"/>
    </row>
    <row r="34" spans="2:11" x14ac:dyDescent="0.35">
      <c r="B34" s="1" t="s">
        <v>99</v>
      </c>
      <c r="C34" s="13" t="s">
        <v>100</v>
      </c>
      <c r="D34" s="22" t="s">
        <v>101</v>
      </c>
      <c r="E34" s="23" t="s">
        <v>37</v>
      </c>
      <c r="F34" s="24">
        <v>2706</v>
      </c>
      <c r="G34" s="25">
        <v>186.19</v>
      </c>
      <c r="H34" s="25">
        <v>1.91</v>
      </c>
      <c r="I34" s="26"/>
      <c r="J34" s="27"/>
      <c r="K34" s="28"/>
    </row>
    <row r="35" spans="2:11" x14ac:dyDescent="0.35">
      <c r="B35" s="1" t="s">
        <v>102</v>
      </c>
      <c r="C35" s="13" t="s">
        <v>103</v>
      </c>
      <c r="D35" s="22" t="s">
        <v>104</v>
      </c>
      <c r="E35" s="23" t="s">
        <v>105</v>
      </c>
      <c r="F35" s="24">
        <v>220811</v>
      </c>
      <c r="G35" s="25">
        <v>185.66</v>
      </c>
      <c r="H35" s="25">
        <v>1.9</v>
      </c>
      <c r="I35" s="26"/>
      <c r="J35" s="27"/>
      <c r="K35" s="28"/>
    </row>
    <row r="36" spans="2:11" x14ac:dyDescent="0.35">
      <c r="B36" s="1" t="s">
        <v>106</v>
      </c>
      <c r="C36" s="13" t="s">
        <v>107</v>
      </c>
      <c r="D36" s="22" t="s">
        <v>108</v>
      </c>
      <c r="E36" s="23" t="s">
        <v>55</v>
      </c>
      <c r="F36" s="24">
        <v>8036</v>
      </c>
      <c r="G36" s="25">
        <v>178.03</v>
      </c>
      <c r="H36" s="25">
        <v>1.82</v>
      </c>
      <c r="I36" s="26"/>
      <c r="J36" s="27"/>
      <c r="K36" s="28"/>
    </row>
    <row r="37" spans="2:11" x14ac:dyDescent="0.35">
      <c r="B37" s="1" t="s">
        <v>109</v>
      </c>
      <c r="C37" s="13" t="s">
        <v>110</v>
      </c>
      <c r="D37" s="22" t="s">
        <v>111</v>
      </c>
      <c r="E37" s="23" t="s">
        <v>17</v>
      </c>
      <c r="F37" s="24">
        <v>2067</v>
      </c>
      <c r="G37" s="25">
        <v>167.72</v>
      </c>
      <c r="H37" s="25">
        <v>1.72</v>
      </c>
      <c r="I37" s="26"/>
      <c r="J37" s="27"/>
      <c r="K37" s="28"/>
    </row>
    <row r="38" spans="2:11" x14ac:dyDescent="0.35">
      <c r="B38" s="1" t="s">
        <v>112</v>
      </c>
      <c r="C38" s="13" t="s">
        <v>113</v>
      </c>
      <c r="D38" s="22" t="s">
        <v>114</v>
      </c>
      <c r="E38" s="23" t="s">
        <v>115</v>
      </c>
      <c r="F38" s="24">
        <v>4886</v>
      </c>
      <c r="G38" s="25">
        <v>161.16999999999999</v>
      </c>
      <c r="H38" s="25">
        <v>1.65</v>
      </c>
      <c r="I38" s="26"/>
      <c r="J38" s="27"/>
      <c r="K38" s="28"/>
    </row>
    <row r="39" spans="2:11" x14ac:dyDescent="0.35">
      <c r="B39" s="1" t="s">
        <v>116</v>
      </c>
      <c r="C39" s="13" t="s">
        <v>117</v>
      </c>
      <c r="D39" s="22" t="s">
        <v>118</v>
      </c>
      <c r="E39" s="23" t="s">
        <v>119</v>
      </c>
      <c r="F39" s="24">
        <v>10353</v>
      </c>
      <c r="G39" s="25">
        <v>159.13999999999999</v>
      </c>
      <c r="H39" s="25">
        <v>1.63</v>
      </c>
      <c r="I39" s="26"/>
      <c r="J39" s="27"/>
      <c r="K39" s="28"/>
    </row>
    <row r="40" spans="2:11" x14ac:dyDescent="0.35">
      <c r="B40" s="1" t="s">
        <v>120</v>
      </c>
      <c r="C40" s="13" t="s">
        <v>121</v>
      </c>
      <c r="D40" s="22" t="s">
        <v>122</v>
      </c>
      <c r="E40" s="23" t="s">
        <v>26</v>
      </c>
      <c r="F40" s="24">
        <v>8446</v>
      </c>
      <c r="G40" s="25">
        <v>158.4</v>
      </c>
      <c r="H40" s="25">
        <v>1.62</v>
      </c>
      <c r="I40" s="26"/>
      <c r="J40" s="27"/>
      <c r="K40" s="28"/>
    </row>
    <row r="41" spans="2:11" x14ac:dyDescent="0.35">
      <c r="B41" s="1" t="s">
        <v>123</v>
      </c>
      <c r="C41" s="13" t="s">
        <v>124</v>
      </c>
      <c r="D41" s="22" t="s">
        <v>125</v>
      </c>
      <c r="E41" s="23" t="s">
        <v>126</v>
      </c>
      <c r="F41" s="24">
        <v>50427</v>
      </c>
      <c r="G41" s="25">
        <v>157.84</v>
      </c>
      <c r="H41" s="25">
        <v>1.62</v>
      </c>
      <c r="I41" s="26"/>
      <c r="J41" s="27"/>
      <c r="K41" s="28"/>
    </row>
    <row r="42" spans="2:11" x14ac:dyDescent="0.35">
      <c r="B42" s="1" t="s">
        <v>127</v>
      </c>
      <c r="C42" s="13" t="s">
        <v>128</v>
      </c>
      <c r="D42" s="22" t="s">
        <v>129</v>
      </c>
      <c r="E42" s="23" t="s">
        <v>130</v>
      </c>
      <c r="F42" s="24">
        <v>121551</v>
      </c>
      <c r="G42" s="25">
        <v>149.94999999999999</v>
      </c>
      <c r="H42" s="25">
        <v>1.54</v>
      </c>
      <c r="I42" s="26"/>
      <c r="J42" s="27"/>
      <c r="K42" s="28"/>
    </row>
    <row r="43" spans="2:11" x14ac:dyDescent="0.35">
      <c r="B43" s="1" t="s">
        <v>131</v>
      </c>
      <c r="C43" s="13" t="s">
        <v>132</v>
      </c>
      <c r="D43" s="22" t="s">
        <v>133</v>
      </c>
      <c r="E43" s="23" t="s">
        <v>26</v>
      </c>
      <c r="F43" s="24">
        <v>158179</v>
      </c>
      <c r="G43" s="25">
        <v>145.97999999999999</v>
      </c>
      <c r="H43" s="25">
        <v>1.49</v>
      </c>
      <c r="I43" s="26"/>
      <c r="J43" s="27"/>
      <c r="K43" s="28"/>
    </row>
    <row r="44" spans="2:11" x14ac:dyDescent="0.35">
      <c r="B44" s="1" t="s">
        <v>134</v>
      </c>
      <c r="C44" s="13" t="s">
        <v>135</v>
      </c>
      <c r="D44" s="22" t="s">
        <v>136</v>
      </c>
      <c r="E44" s="23" t="s">
        <v>30</v>
      </c>
      <c r="F44" s="24">
        <v>2181</v>
      </c>
      <c r="G44" s="25">
        <v>143.99</v>
      </c>
      <c r="H44" s="25">
        <v>1.47</v>
      </c>
      <c r="I44" s="26"/>
      <c r="J44" s="27"/>
      <c r="K44" s="28"/>
    </row>
    <row r="45" spans="2:11" x14ac:dyDescent="0.35">
      <c r="B45" s="1" t="s">
        <v>137</v>
      </c>
      <c r="C45" s="13" t="s">
        <v>138</v>
      </c>
      <c r="D45" s="22" t="s">
        <v>139</v>
      </c>
      <c r="E45" s="23" t="s">
        <v>140</v>
      </c>
      <c r="F45" s="24">
        <v>35943</v>
      </c>
      <c r="G45" s="25">
        <v>143.66</v>
      </c>
      <c r="H45" s="25">
        <v>1.47</v>
      </c>
      <c r="I45" s="26"/>
      <c r="J45" s="27"/>
      <c r="K45" s="28"/>
    </row>
    <row r="46" spans="2:11" x14ac:dyDescent="0.35">
      <c r="B46" s="1" t="s">
        <v>141</v>
      </c>
      <c r="C46" s="13" t="s">
        <v>142</v>
      </c>
      <c r="D46" s="22" t="s">
        <v>143</v>
      </c>
      <c r="E46" s="23" t="s">
        <v>144</v>
      </c>
      <c r="F46" s="24">
        <v>26084</v>
      </c>
      <c r="G46" s="25">
        <v>140.54</v>
      </c>
      <c r="H46" s="25">
        <v>1.44</v>
      </c>
      <c r="I46" s="26"/>
      <c r="J46" s="27"/>
      <c r="K46" s="28"/>
    </row>
    <row r="47" spans="2:11" x14ac:dyDescent="0.35">
      <c r="B47" s="1" t="s">
        <v>145</v>
      </c>
      <c r="C47" s="13" t="s">
        <v>146</v>
      </c>
      <c r="D47" s="22" t="s">
        <v>147</v>
      </c>
      <c r="E47" s="23" t="s">
        <v>84</v>
      </c>
      <c r="F47" s="24">
        <v>9024</v>
      </c>
      <c r="G47" s="25">
        <v>140.13999999999999</v>
      </c>
      <c r="H47" s="25">
        <v>1.43</v>
      </c>
      <c r="I47" s="26"/>
      <c r="J47" s="27"/>
      <c r="K47" s="28"/>
    </row>
    <row r="48" spans="2:11" x14ac:dyDescent="0.35">
      <c r="B48" s="1" t="s">
        <v>148</v>
      </c>
      <c r="C48" s="13" t="s">
        <v>149</v>
      </c>
      <c r="D48" s="22" t="s">
        <v>150</v>
      </c>
      <c r="E48" s="23" t="s">
        <v>88</v>
      </c>
      <c r="F48" s="24">
        <v>99659</v>
      </c>
      <c r="G48" s="25">
        <v>138.85</v>
      </c>
      <c r="H48" s="25">
        <v>1.42</v>
      </c>
      <c r="I48" s="26"/>
      <c r="J48" s="27"/>
      <c r="K48" s="28"/>
    </row>
    <row r="49" spans="1:11" x14ac:dyDescent="0.35">
      <c r="B49" s="1" t="s">
        <v>151</v>
      </c>
      <c r="C49" s="13" t="s">
        <v>152</v>
      </c>
      <c r="D49" s="22" t="s">
        <v>153</v>
      </c>
      <c r="E49" s="23" t="s">
        <v>55</v>
      </c>
      <c r="F49" s="24">
        <v>13176</v>
      </c>
      <c r="G49" s="25">
        <v>137.68</v>
      </c>
      <c r="H49" s="25">
        <v>1.41</v>
      </c>
      <c r="I49" s="26"/>
      <c r="J49" s="27"/>
      <c r="K49" s="28"/>
    </row>
    <row r="50" spans="1:11" x14ac:dyDescent="0.35">
      <c r="B50" s="1" t="s">
        <v>154</v>
      </c>
      <c r="C50" s="13" t="s">
        <v>155</v>
      </c>
      <c r="D50" s="22" t="s">
        <v>156</v>
      </c>
      <c r="E50" s="23" t="s">
        <v>157</v>
      </c>
      <c r="F50" s="24">
        <v>37690</v>
      </c>
      <c r="G50" s="25">
        <v>134.93</v>
      </c>
      <c r="H50" s="25">
        <v>1.38</v>
      </c>
      <c r="I50" s="26"/>
      <c r="J50" s="27"/>
      <c r="K50" s="28"/>
    </row>
    <row r="51" spans="1:11" x14ac:dyDescent="0.35">
      <c r="B51" s="1" t="s">
        <v>158</v>
      </c>
      <c r="C51" s="13" t="s">
        <v>159</v>
      </c>
      <c r="D51" s="22" t="s">
        <v>160</v>
      </c>
      <c r="E51" s="23" t="s">
        <v>115</v>
      </c>
      <c r="F51" s="24">
        <v>7890</v>
      </c>
      <c r="G51" s="25">
        <v>132.26</v>
      </c>
      <c r="H51" s="25">
        <v>1.35</v>
      </c>
      <c r="I51" s="26"/>
      <c r="J51" s="27"/>
      <c r="K51" s="28"/>
    </row>
    <row r="52" spans="1:11" x14ac:dyDescent="0.35">
      <c r="C52" s="13" t="s">
        <v>161</v>
      </c>
      <c r="D52" s="22" t="s">
        <v>162</v>
      </c>
      <c r="E52" s="23" t="s">
        <v>47</v>
      </c>
      <c r="F52" s="24">
        <v>7675</v>
      </c>
      <c r="G52" s="25">
        <v>128.27000000000001</v>
      </c>
      <c r="H52" s="25">
        <v>1.31</v>
      </c>
      <c r="I52" s="26"/>
      <c r="J52" s="27"/>
      <c r="K52" s="28"/>
    </row>
    <row r="53" spans="1:11" x14ac:dyDescent="0.35">
      <c r="C53" s="13" t="s">
        <v>163</v>
      </c>
      <c r="D53" s="22" t="s">
        <v>164</v>
      </c>
      <c r="E53" s="23" t="s">
        <v>165</v>
      </c>
      <c r="F53" s="24">
        <v>3966</v>
      </c>
      <c r="G53" s="25">
        <v>113.01</v>
      </c>
      <c r="H53" s="25">
        <v>1.1599999999999999</v>
      </c>
      <c r="I53" s="26"/>
      <c r="J53" s="27"/>
      <c r="K53" s="28"/>
    </row>
    <row r="54" spans="1:11" x14ac:dyDescent="0.35">
      <c r="A54" s="30"/>
      <c r="B54" s="31"/>
      <c r="C54" s="13" t="s">
        <v>166</v>
      </c>
      <c r="D54" s="22" t="s">
        <v>167</v>
      </c>
      <c r="E54" s="23" t="s">
        <v>88</v>
      </c>
      <c r="F54" s="24">
        <v>27688</v>
      </c>
      <c r="G54" s="25">
        <v>112.57</v>
      </c>
      <c r="H54" s="25">
        <v>1.1499999999999999</v>
      </c>
      <c r="I54" s="26"/>
      <c r="J54" s="27"/>
      <c r="K54" s="28"/>
    </row>
    <row r="55" spans="1:11" x14ac:dyDescent="0.35">
      <c r="C55" s="13" t="s">
        <v>168</v>
      </c>
      <c r="D55" s="22" t="s">
        <v>169</v>
      </c>
      <c r="E55" s="23" t="s">
        <v>55</v>
      </c>
      <c r="F55" s="24">
        <v>46251</v>
      </c>
      <c r="G55" s="25">
        <v>110.38</v>
      </c>
      <c r="H55" s="25">
        <v>1.1299999999999999</v>
      </c>
      <c r="I55" s="26"/>
      <c r="J55" s="27"/>
      <c r="K55" s="28"/>
    </row>
    <row r="56" spans="1:11" x14ac:dyDescent="0.35">
      <c r="B56" s="1" t="s">
        <v>170</v>
      </c>
      <c r="C56" s="13" t="s">
        <v>171</v>
      </c>
      <c r="D56" s="22" t="s">
        <v>172</v>
      </c>
      <c r="E56" s="23" t="s">
        <v>140</v>
      </c>
      <c r="F56" s="24">
        <v>4312</v>
      </c>
      <c r="G56" s="25">
        <v>109.21</v>
      </c>
      <c r="H56" s="25">
        <v>1.1200000000000001</v>
      </c>
      <c r="I56" s="26"/>
      <c r="J56" s="27"/>
      <c r="K56" s="28"/>
    </row>
    <row r="57" spans="1:11" x14ac:dyDescent="0.35">
      <c r="C57" s="13" t="s">
        <v>173</v>
      </c>
      <c r="D57" s="22" t="s">
        <v>174</v>
      </c>
      <c r="E57" s="23" t="s">
        <v>37</v>
      </c>
      <c r="F57" s="24">
        <v>3890</v>
      </c>
      <c r="G57" s="25">
        <v>108.4</v>
      </c>
      <c r="H57" s="25">
        <v>1.1100000000000001</v>
      </c>
      <c r="I57" s="26"/>
      <c r="J57" s="27"/>
      <c r="K57" s="28"/>
    </row>
    <row r="58" spans="1:11" x14ac:dyDescent="0.35">
      <c r="C58" s="13" t="s">
        <v>175</v>
      </c>
      <c r="D58" s="22" t="s">
        <v>176</v>
      </c>
      <c r="E58" s="23" t="s">
        <v>37</v>
      </c>
      <c r="F58" s="24">
        <v>7379</v>
      </c>
      <c r="G58" s="25">
        <v>103.49</v>
      </c>
      <c r="H58" s="25">
        <v>1.06</v>
      </c>
      <c r="I58" s="26"/>
      <c r="J58" s="27"/>
      <c r="K58" s="28"/>
    </row>
    <row r="59" spans="1:11" x14ac:dyDescent="0.35">
      <c r="A59" s="30"/>
      <c r="B59" s="31"/>
      <c r="C59" s="13" t="s">
        <v>177</v>
      </c>
      <c r="D59" s="22" t="s">
        <v>178</v>
      </c>
      <c r="E59" s="23" t="s">
        <v>179</v>
      </c>
      <c r="F59" s="24">
        <v>18957</v>
      </c>
      <c r="G59" s="25">
        <v>102.85</v>
      </c>
      <c r="H59" s="25">
        <v>1.05</v>
      </c>
      <c r="I59" s="26"/>
      <c r="J59" s="27"/>
      <c r="K59" s="28"/>
    </row>
    <row r="60" spans="1:11" x14ac:dyDescent="0.35">
      <c r="A60" s="30"/>
      <c r="B60" s="31"/>
      <c r="C60" s="13" t="s">
        <v>180</v>
      </c>
      <c r="D60" s="22" t="s">
        <v>181</v>
      </c>
      <c r="E60" s="23" t="s">
        <v>84</v>
      </c>
      <c r="F60" s="24">
        <v>4827</v>
      </c>
      <c r="G60" s="25">
        <v>89.79</v>
      </c>
      <c r="H60" s="25">
        <v>0.92</v>
      </c>
      <c r="I60" s="26"/>
      <c r="J60" s="27"/>
      <c r="K60" s="28"/>
    </row>
    <row r="61" spans="1:11" x14ac:dyDescent="0.35">
      <c r="A61" s="30"/>
      <c r="B61" s="31"/>
      <c r="C61" s="13" t="s">
        <v>182</v>
      </c>
      <c r="D61" s="22" t="s">
        <v>183</v>
      </c>
      <c r="E61" s="23" t="s">
        <v>37</v>
      </c>
      <c r="F61" s="24">
        <v>13255</v>
      </c>
      <c r="G61" s="25">
        <v>79.599999999999994</v>
      </c>
      <c r="H61" s="25">
        <v>0.82</v>
      </c>
      <c r="I61" s="26"/>
      <c r="J61" s="27"/>
      <c r="K61" s="28"/>
    </row>
    <row r="62" spans="1:11" x14ac:dyDescent="0.35">
      <c r="A62" s="30"/>
      <c r="B62" s="31"/>
      <c r="C62" s="13" t="s">
        <v>184</v>
      </c>
      <c r="D62" s="22" t="s">
        <v>185</v>
      </c>
      <c r="E62" s="23" t="s">
        <v>55</v>
      </c>
      <c r="F62" s="24">
        <v>4096</v>
      </c>
      <c r="G62" s="25">
        <v>75.510000000000005</v>
      </c>
      <c r="H62" s="25">
        <v>0.77</v>
      </c>
      <c r="I62" s="26"/>
      <c r="J62" s="27"/>
      <c r="K62" s="28"/>
    </row>
    <row r="63" spans="1:11" x14ac:dyDescent="0.35">
      <c r="A63" s="30"/>
      <c r="B63" s="31"/>
      <c r="C63" s="13" t="s">
        <v>186</v>
      </c>
      <c r="D63" s="22" t="s">
        <v>187</v>
      </c>
      <c r="E63" s="23" t="s">
        <v>165</v>
      </c>
      <c r="F63" s="24">
        <v>4898</v>
      </c>
      <c r="G63" s="25">
        <v>75.05</v>
      </c>
      <c r="H63" s="25">
        <v>0.77</v>
      </c>
      <c r="I63" s="26"/>
      <c r="J63" s="27"/>
      <c r="K63" s="28"/>
    </row>
    <row r="64" spans="1:11" x14ac:dyDescent="0.35">
      <c r="A64" s="30"/>
      <c r="B64" s="31"/>
      <c r="C64" s="13" t="s">
        <v>188</v>
      </c>
      <c r="D64" s="22" t="s">
        <v>189</v>
      </c>
      <c r="E64" s="23" t="s">
        <v>115</v>
      </c>
      <c r="F64" s="24">
        <v>6485</v>
      </c>
      <c r="G64" s="25">
        <v>67.5</v>
      </c>
      <c r="H64" s="25">
        <v>0.69</v>
      </c>
      <c r="I64" s="26"/>
      <c r="J64" s="27"/>
      <c r="K64" s="28"/>
    </row>
    <row r="65" spans="1:254" x14ac:dyDescent="0.35">
      <c r="A65" s="30"/>
      <c r="B65" s="31"/>
      <c r="C65" s="13" t="s">
        <v>190</v>
      </c>
      <c r="D65" s="22" t="s">
        <v>191</v>
      </c>
      <c r="E65" s="23" t="s">
        <v>130</v>
      </c>
      <c r="F65" s="24">
        <v>15354</v>
      </c>
      <c r="G65" s="25">
        <v>64.959999999999994</v>
      </c>
      <c r="H65" s="25">
        <v>0.67</v>
      </c>
      <c r="I65" s="26"/>
      <c r="J65" s="27"/>
      <c r="K65" s="28"/>
    </row>
    <row r="66" spans="1:254" x14ac:dyDescent="0.35">
      <c r="A66" s="30"/>
      <c r="B66" s="31"/>
      <c r="C66" s="21" t="s">
        <v>192</v>
      </c>
      <c r="D66" s="22"/>
      <c r="E66" s="23"/>
      <c r="F66" s="24"/>
      <c r="G66" s="32">
        <v>9463</v>
      </c>
      <c r="H66" s="32">
        <v>96.88</v>
      </c>
      <c r="I66" s="26"/>
      <c r="J66" s="27"/>
      <c r="K66" s="28"/>
    </row>
    <row r="67" spans="1:254" x14ac:dyDescent="0.35">
      <c r="A67" s="30"/>
      <c r="B67" s="31"/>
      <c r="C67" s="13"/>
      <c r="D67" s="22"/>
      <c r="E67" s="23"/>
      <c r="F67" s="24"/>
      <c r="G67" s="25"/>
      <c r="H67" s="25"/>
      <c r="I67" s="26"/>
      <c r="J67" s="27"/>
      <c r="K67" s="28"/>
    </row>
    <row r="68" spans="1:254" x14ac:dyDescent="0.35">
      <c r="A68" s="30"/>
      <c r="B68" s="31"/>
      <c r="C68" s="21" t="s">
        <v>193</v>
      </c>
      <c r="D68" s="22"/>
      <c r="E68" s="23"/>
      <c r="F68" s="24"/>
      <c r="G68" s="25"/>
      <c r="H68" s="25"/>
      <c r="I68" s="26"/>
      <c r="J68" s="27"/>
      <c r="K68" s="28"/>
    </row>
    <row r="69" spans="1:254" x14ac:dyDescent="0.35">
      <c r="A69" s="30"/>
      <c r="B69" s="31"/>
      <c r="C69" s="29" t="s">
        <v>194</v>
      </c>
      <c r="D69" s="22"/>
      <c r="E69" s="23"/>
      <c r="F69" s="24"/>
      <c r="G69" s="25"/>
      <c r="H69" s="25"/>
      <c r="I69" s="26"/>
      <c r="J69" s="27"/>
      <c r="K69" s="28"/>
    </row>
    <row r="70" spans="1:254" x14ac:dyDescent="0.35">
      <c r="A70" s="30"/>
      <c r="B70" s="31"/>
      <c r="C70" s="13" t="s">
        <v>195</v>
      </c>
      <c r="D70" s="22"/>
      <c r="E70" s="23"/>
      <c r="F70" s="24"/>
      <c r="G70" s="25">
        <v>309.95</v>
      </c>
      <c r="H70" s="25">
        <v>3.17</v>
      </c>
      <c r="I70" s="26">
        <v>5.8267379999999998</v>
      </c>
      <c r="J70" s="27"/>
      <c r="K70" s="28"/>
    </row>
    <row r="71" spans="1:254" x14ac:dyDescent="0.35">
      <c r="A71" s="30"/>
      <c r="B71" s="31"/>
      <c r="C71" s="21" t="s">
        <v>192</v>
      </c>
      <c r="D71" s="22"/>
      <c r="E71" s="23"/>
      <c r="F71" s="24"/>
      <c r="G71" s="32">
        <v>309.95</v>
      </c>
      <c r="H71" s="32">
        <v>3.17</v>
      </c>
      <c r="I71" s="26"/>
      <c r="J71" s="27"/>
      <c r="K71" s="28"/>
    </row>
    <row r="72" spans="1:254" x14ac:dyDescent="0.35">
      <c r="A72" s="30"/>
      <c r="B72" s="31"/>
      <c r="C72" s="13"/>
      <c r="D72" s="22"/>
      <c r="E72" s="23"/>
      <c r="F72" s="24"/>
      <c r="G72" s="25"/>
      <c r="H72" s="25"/>
      <c r="I72" s="26"/>
      <c r="J72" s="27"/>
      <c r="K72" s="28"/>
    </row>
    <row r="73" spans="1:254" x14ac:dyDescent="0.35">
      <c r="A73" s="30"/>
      <c r="B73" s="31"/>
      <c r="C73" s="21" t="s">
        <v>196</v>
      </c>
      <c r="D73" s="22"/>
      <c r="E73" s="23"/>
      <c r="F73" s="24"/>
      <c r="G73" s="25"/>
      <c r="H73" s="25"/>
      <c r="I73" s="26"/>
      <c r="J73" s="27"/>
      <c r="K73" s="28"/>
    </row>
    <row r="74" spans="1:254" x14ac:dyDescent="0.35">
      <c r="A74" s="30"/>
      <c r="B74" s="31"/>
      <c r="C74" s="13" t="s">
        <v>197</v>
      </c>
      <c r="D74" s="22"/>
      <c r="E74" s="23"/>
      <c r="F74" s="24"/>
      <c r="G74" s="25">
        <v>-5.88</v>
      </c>
      <c r="H74" s="25">
        <v>-4.9999999999999996E-2</v>
      </c>
      <c r="I74" s="26"/>
      <c r="J74" s="27"/>
      <c r="K74" s="28"/>
    </row>
    <row r="75" spans="1:254" x14ac:dyDescent="0.35">
      <c r="A75" s="30"/>
      <c r="B75" s="31"/>
      <c r="C75" s="21" t="s">
        <v>192</v>
      </c>
      <c r="D75" s="22"/>
      <c r="E75" s="23"/>
      <c r="F75" s="24"/>
      <c r="G75" s="32">
        <v>-5.88</v>
      </c>
      <c r="H75" s="32">
        <v>-4.9999999999999996E-2</v>
      </c>
      <c r="I75" s="26"/>
      <c r="J75" s="27"/>
      <c r="K75" s="28"/>
    </row>
    <row r="76" spans="1:254" x14ac:dyDescent="0.35">
      <c r="A76" s="30"/>
      <c r="B76" s="31"/>
      <c r="C76" s="13"/>
      <c r="D76" s="22"/>
      <c r="E76" s="23"/>
      <c r="F76" s="24"/>
      <c r="G76" s="25"/>
      <c r="H76" s="25"/>
      <c r="I76" s="26"/>
      <c r="J76" s="27"/>
      <c r="K76" s="28"/>
    </row>
    <row r="77" spans="1:254" ht="14" thickBot="1" x14ac:dyDescent="0.4">
      <c r="A77" s="30"/>
      <c r="B77" s="31"/>
      <c r="C77" s="33" t="s">
        <v>198</v>
      </c>
      <c r="D77" s="34"/>
      <c r="E77" s="35"/>
      <c r="F77" s="36"/>
      <c r="G77" s="37">
        <v>9767.07</v>
      </c>
      <c r="H77" s="37">
        <f>SUMIFS(H:H,C:C,"Total")</f>
        <v>100</v>
      </c>
      <c r="I77" s="38"/>
      <c r="J77" s="39"/>
      <c r="K77" s="28"/>
    </row>
    <row r="78" spans="1:254" x14ac:dyDescent="0.35">
      <c r="C78" s="40"/>
      <c r="D78" s="40"/>
      <c r="E78" s="41"/>
      <c r="F78" s="42"/>
      <c r="G78" s="43"/>
      <c r="H78" s="43"/>
      <c r="I78" s="44"/>
      <c r="J78" s="44"/>
    </row>
    <row r="79" spans="1:254" x14ac:dyDescent="0.35">
      <c r="C79" s="40"/>
      <c r="D79" s="40"/>
      <c r="E79" s="41"/>
      <c r="F79" s="42"/>
      <c r="G79" s="43"/>
      <c r="H79" s="43"/>
      <c r="I79" s="44"/>
      <c r="J79" s="44"/>
    </row>
    <row r="80" spans="1:254" s="6" customFormat="1" x14ac:dyDescent="0.35">
      <c r="A80" s="2"/>
      <c r="B80" s="2"/>
      <c r="C80" s="9" t="s">
        <v>199</v>
      </c>
      <c r="D80" s="2"/>
      <c r="E80" s="2"/>
      <c r="F80" s="10"/>
      <c r="G80" s="11"/>
      <c r="H80" s="11"/>
      <c r="I80" s="11"/>
      <c r="J80" s="1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V80" s="2"/>
      <c r="AX80" s="2"/>
      <c r="AY80" s="2"/>
      <c r="AZ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</row>
    <row r="81" spans="1:254" ht="28.5" customHeight="1" x14ac:dyDescent="0.35">
      <c r="C81" s="84" t="s">
        <v>200</v>
      </c>
      <c r="D81" s="84"/>
      <c r="E81" s="84"/>
      <c r="F81" s="84"/>
      <c r="G81" s="84"/>
      <c r="H81" s="84"/>
      <c r="I81" s="84"/>
      <c r="J81" s="84"/>
      <c r="L81" s="2"/>
      <c r="AH81" s="6"/>
      <c r="AI81" s="2"/>
      <c r="AU81" s="6"/>
      <c r="AV81" s="2"/>
      <c r="AW81" s="6"/>
      <c r="AX81" s="2"/>
      <c r="BA81" s="6"/>
      <c r="BB81" s="2"/>
    </row>
    <row r="82" spans="1:254" s="6" customFormat="1" x14ac:dyDescent="0.35">
      <c r="A82" s="2"/>
      <c r="B82" s="2"/>
      <c r="C82" s="45" t="s">
        <v>201</v>
      </c>
      <c r="D82" s="2"/>
      <c r="E82" s="2"/>
      <c r="F82" s="10"/>
      <c r="G82" s="11"/>
      <c r="H82" s="11"/>
      <c r="I82" s="11"/>
      <c r="J82" s="1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V82" s="2"/>
      <c r="AX82" s="2"/>
      <c r="AY82" s="2"/>
      <c r="AZ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</row>
    <row r="83" spans="1:254" s="6" customFormat="1" ht="37.5" customHeight="1" x14ac:dyDescent="0.35">
      <c r="A83" s="2"/>
      <c r="B83" s="2"/>
      <c r="C83" s="85" t="s">
        <v>202</v>
      </c>
      <c r="D83" s="85"/>
      <c r="E83" s="85"/>
      <c r="F83" s="85"/>
      <c r="G83" s="85"/>
      <c r="H83" s="85"/>
      <c r="I83" s="85"/>
      <c r="J83" s="8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V83" s="2"/>
      <c r="AX83" s="2"/>
      <c r="AY83" s="2"/>
      <c r="AZ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</row>
    <row r="84" spans="1:254" x14ac:dyDescent="0.35">
      <c r="L84" s="2"/>
      <c r="AH84" s="6"/>
      <c r="AI84" s="2"/>
      <c r="AU84" s="6"/>
      <c r="AV84" s="2"/>
      <c r="AW84" s="6"/>
      <c r="AX84" s="2"/>
      <c r="BA84" s="6"/>
      <c r="BB84" s="2"/>
    </row>
    <row r="85" spans="1:254" s="10" customFormat="1" ht="16.5" thickBot="1" x14ac:dyDescent="0.4">
      <c r="A85" s="2"/>
      <c r="B85" s="2"/>
      <c r="C85" s="46" t="s">
        <v>203</v>
      </c>
      <c r="D85" s="47"/>
      <c r="E85" s="47"/>
      <c r="G85" s="11"/>
      <c r="H85" s="11"/>
      <c r="I85" s="11"/>
      <c r="J85" s="11"/>
      <c r="K85" s="6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6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6"/>
      <c r="AV85" s="2"/>
      <c r="AW85" s="6"/>
      <c r="AX85" s="2"/>
      <c r="AY85" s="2"/>
      <c r="AZ85" s="2"/>
      <c r="BA85" s="6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</row>
    <row r="86" spans="1:254" s="10" customFormat="1" ht="26" x14ac:dyDescent="0.35">
      <c r="A86" s="2"/>
      <c r="B86" s="2"/>
      <c r="C86" s="97" t="s">
        <v>204</v>
      </c>
      <c r="D86" s="105" t="s">
        <v>205</v>
      </c>
      <c r="E86" s="98" t="s">
        <v>206</v>
      </c>
      <c r="G86" s="11"/>
      <c r="H86" s="11"/>
      <c r="I86" s="11"/>
      <c r="J86" s="11"/>
      <c r="K86" s="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6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6"/>
      <c r="AV86" s="2"/>
      <c r="AW86" s="6"/>
      <c r="AX86" s="2"/>
      <c r="AY86" s="2"/>
      <c r="AZ86" s="2"/>
      <c r="BA86" s="6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</row>
    <row r="87" spans="1:254" s="10" customFormat="1" x14ac:dyDescent="0.35">
      <c r="A87" s="2"/>
      <c r="B87" s="2"/>
      <c r="C87" s="48" t="s">
        <v>207</v>
      </c>
      <c r="D87" s="49">
        <v>10.63</v>
      </c>
      <c r="E87" s="49">
        <v>11.38</v>
      </c>
      <c r="G87" s="11"/>
      <c r="H87" s="11"/>
      <c r="I87" s="11"/>
      <c r="J87" s="11"/>
      <c r="K87" s="6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6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6"/>
      <c r="AV87" s="2"/>
      <c r="AW87" s="6"/>
      <c r="AX87" s="2"/>
      <c r="AY87" s="2"/>
      <c r="AZ87" s="2"/>
      <c r="BA87" s="6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</row>
    <row r="88" spans="1:254" s="10" customFormat="1" x14ac:dyDescent="0.35">
      <c r="A88" s="2"/>
      <c r="B88" s="2"/>
      <c r="C88" s="48" t="s">
        <v>208</v>
      </c>
      <c r="D88" s="49">
        <v>10.63</v>
      </c>
      <c r="E88" s="49">
        <v>11.38</v>
      </c>
      <c r="G88" s="11"/>
      <c r="H88" s="11"/>
      <c r="I88" s="11"/>
      <c r="J88" s="11"/>
      <c r="K88" s="6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6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6"/>
      <c r="AV88" s="2"/>
      <c r="AW88" s="6"/>
      <c r="AX88" s="2"/>
      <c r="AY88" s="2"/>
      <c r="AZ88" s="2"/>
      <c r="BA88" s="6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</row>
    <row r="89" spans="1:254" s="10" customFormat="1" x14ac:dyDescent="0.35">
      <c r="A89" s="2"/>
      <c r="B89" s="2"/>
      <c r="C89" s="48" t="s">
        <v>209</v>
      </c>
      <c r="D89" s="49">
        <v>10.65</v>
      </c>
      <c r="E89" s="49">
        <v>11.42</v>
      </c>
      <c r="G89" s="11"/>
      <c r="H89" s="11"/>
      <c r="I89" s="11"/>
      <c r="J89" s="11"/>
      <c r="K89" s="6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6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6"/>
      <c r="AV89" s="2"/>
      <c r="AW89" s="6"/>
      <c r="AX89" s="2"/>
      <c r="AY89" s="2"/>
      <c r="AZ89" s="2"/>
      <c r="BA89" s="6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</row>
    <row r="90" spans="1:254" s="10" customFormat="1" ht="14" thickBot="1" x14ac:dyDescent="0.4">
      <c r="A90" s="2"/>
      <c r="B90" s="2"/>
      <c r="C90" s="50" t="s">
        <v>210</v>
      </c>
      <c r="D90" s="51">
        <v>10.65</v>
      </c>
      <c r="E90" s="51">
        <v>11.42</v>
      </c>
      <c r="G90" s="11"/>
      <c r="H90" s="11"/>
      <c r="I90" s="11"/>
      <c r="J90" s="11"/>
      <c r="K90" s="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6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6"/>
      <c r="AV90" s="2"/>
      <c r="AW90" s="6"/>
      <c r="AX90" s="2"/>
      <c r="AY90" s="2"/>
      <c r="AZ90" s="2"/>
      <c r="BA90" s="6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</row>
    <row r="91" spans="1:254" s="10" customFormat="1" x14ac:dyDescent="0.35">
      <c r="A91" s="2"/>
      <c r="B91" s="2"/>
      <c r="C91" s="52"/>
      <c r="D91" s="53"/>
      <c r="E91" s="53"/>
      <c r="G91" s="11"/>
      <c r="H91" s="11"/>
      <c r="I91" s="11"/>
      <c r="J91" s="11"/>
      <c r="K91" s="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6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6"/>
      <c r="AV91" s="2"/>
      <c r="AW91" s="6"/>
      <c r="AX91" s="2"/>
      <c r="AY91" s="2"/>
      <c r="AZ91" s="2"/>
      <c r="BA91" s="6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</row>
    <row r="92" spans="1:254" s="10" customFormat="1" x14ac:dyDescent="0.35">
      <c r="A92" s="2"/>
      <c r="B92" s="2"/>
      <c r="C92" s="52"/>
      <c r="D92" s="54"/>
      <c r="E92" s="54"/>
      <c r="G92" s="11"/>
      <c r="H92" s="11"/>
      <c r="I92" s="11"/>
      <c r="J92" s="11"/>
      <c r="K92" s="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6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6"/>
      <c r="AV92" s="2"/>
      <c r="AW92" s="6"/>
      <c r="AX92" s="2"/>
      <c r="AY92" s="2"/>
      <c r="AZ92" s="2"/>
      <c r="BA92" s="6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</row>
    <row r="93" spans="1:254" s="10" customFormat="1" ht="14.25" customHeight="1" thickBot="1" x14ac:dyDescent="0.4">
      <c r="A93" s="2"/>
      <c r="B93" s="2"/>
      <c r="C93" s="86" t="s">
        <v>211</v>
      </c>
      <c r="D93" s="86"/>
      <c r="E93" s="86"/>
      <c r="G93" s="11"/>
      <c r="H93" s="11"/>
      <c r="I93" s="11"/>
      <c r="J93" s="11"/>
      <c r="K93" s="6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6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6"/>
      <c r="AV93" s="2"/>
      <c r="AW93" s="6"/>
      <c r="AX93" s="2"/>
      <c r="AY93" s="2"/>
      <c r="AZ93" s="2"/>
      <c r="BA93" s="6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</row>
    <row r="94" spans="1:254" s="10" customFormat="1" x14ac:dyDescent="0.35">
      <c r="A94" s="2"/>
      <c r="B94" s="2"/>
      <c r="C94" s="99" t="s">
        <v>204</v>
      </c>
      <c r="D94" s="100" t="s">
        <v>212</v>
      </c>
      <c r="E94" s="101"/>
      <c r="G94" s="11"/>
      <c r="H94" s="11"/>
      <c r="I94" s="11"/>
      <c r="J94" s="11"/>
      <c r="K94" s="6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6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6"/>
      <c r="AV94" s="2"/>
      <c r="AW94" s="6"/>
      <c r="AX94" s="2"/>
      <c r="AY94" s="2"/>
      <c r="AZ94" s="2"/>
      <c r="BA94" s="6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</row>
    <row r="95" spans="1:254" s="10" customFormat="1" x14ac:dyDescent="0.35">
      <c r="A95" s="2"/>
      <c r="B95" s="2"/>
      <c r="C95" s="102"/>
      <c r="D95" s="103" t="s">
        <v>213</v>
      </c>
      <c r="E95" s="104" t="s">
        <v>214</v>
      </c>
      <c r="G95" s="11"/>
      <c r="H95" s="11"/>
      <c r="I95" s="11"/>
      <c r="J95" s="11"/>
      <c r="K95" s="6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6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6"/>
      <c r="AV95" s="2"/>
      <c r="AW95" s="6"/>
      <c r="AX95" s="2"/>
      <c r="AY95" s="2"/>
      <c r="AZ95" s="2"/>
      <c r="BA95" s="6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</row>
    <row r="96" spans="1:254" s="10" customFormat="1" x14ac:dyDescent="0.35">
      <c r="A96" s="2"/>
      <c r="B96" s="2"/>
      <c r="C96" s="48" t="s">
        <v>215</v>
      </c>
      <c r="D96" s="55" t="s">
        <v>216</v>
      </c>
      <c r="E96" s="56" t="s">
        <v>216</v>
      </c>
      <c r="G96" s="11"/>
      <c r="H96" s="11"/>
      <c r="I96" s="11"/>
      <c r="J96" s="11"/>
      <c r="K96" s="6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6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6"/>
      <c r="AV96" s="2"/>
      <c r="AW96" s="6"/>
      <c r="AX96" s="2"/>
      <c r="AY96" s="2"/>
      <c r="AZ96" s="2"/>
      <c r="BA96" s="6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</row>
    <row r="97" spans="1:254" s="10" customFormat="1" ht="14" thickBot="1" x14ac:dyDescent="0.4">
      <c r="A97" s="2"/>
      <c r="B97" s="2"/>
      <c r="C97" s="50" t="s">
        <v>217</v>
      </c>
      <c r="D97" s="57" t="s">
        <v>216</v>
      </c>
      <c r="E97" s="58" t="s">
        <v>216</v>
      </c>
      <c r="G97" s="11"/>
      <c r="H97" s="11"/>
      <c r="I97" s="11"/>
      <c r="J97" s="11"/>
      <c r="K97" s="6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6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6"/>
      <c r="AV97" s="2"/>
      <c r="AW97" s="6"/>
      <c r="AX97" s="2"/>
      <c r="AY97" s="2"/>
      <c r="AZ97" s="2"/>
      <c r="BA97" s="6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</row>
    <row r="98" spans="1:254" s="10" customFormat="1" ht="14" thickBot="1" x14ac:dyDescent="0.4">
      <c r="A98" s="2"/>
      <c r="B98" s="2"/>
      <c r="C98" s="45"/>
      <c r="D98" s="45"/>
      <c r="E98" s="45"/>
      <c r="G98" s="11"/>
      <c r="H98" s="11"/>
      <c r="I98" s="11"/>
      <c r="J98" s="11"/>
      <c r="K98" s="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6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6"/>
      <c r="AV98" s="2"/>
      <c r="AW98" s="6"/>
      <c r="AX98" s="2"/>
      <c r="AY98" s="2"/>
      <c r="AZ98" s="2"/>
      <c r="BA98" s="6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</row>
    <row r="99" spans="1:254" s="10" customFormat="1" ht="14" thickBot="1" x14ac:dyDescent="0.4">
      <c r="A99" s="2"/>
      <c r="B99" s="2"/>
      <c r="C99" s="59" t="s">
        <v>218</v>
      </c>
      <c r="D99" s="60">
        <v>0</v>
      </c>
      <c r="E99" s="61"/>
      <c r="G99" s="11"/>
      <c r="H99" s="11"/>
      <c r="I99" s="11"/>
      <c r="J99" s="11"/>
      <c r="K99" s="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6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"/>
      <c r="AV99" s="2"/>
      <c r="AW99" s="6"/>
      <c r="AX99" s="2"/>
      <c r="AY99" s="2"/>
      <c r="AZ99" s="2"/>
      <c r="BA99" s="6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</row>
    <row r="100" spans="1:254" s="10" customFormat="1" x14ac:dyDescent="0.35">
      <c r="A100" s="2"/>
      <c r="B100" s="2"/>
      <c r="C100" s="45"/>
      <c r="D100" s="45"/>
      <c r="E100" s="45"/>
      <c r="G100" s="11"/>
      <c r="H100" s="11"/>
      <c r="I100" s="11"/>
      <c r="J100" s="11"/>
      <c r="K100" s="6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6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"/>
      <c r="AV100" s="2"/>
      <c r="AW100" s="6"/>
      <c r="AX100" s="2"/>
      <c r="AY100" s="2"/>
      <c r="AZ100" s="2"/>
      <c r="BA100" s="6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</row>
    <row r="101" spans="1:254" ht="14.5" x14ac:dyDescent="0.35">
      <c r="C101" s="62" t="s">
        <v>219</v>
      </c>
      <c r="D101" s="62"/>
      <c r="L101" s="2"/>
      <c r="AH101" s="6"/>
      <c r="AI101" s="2"/>
      <c r="AU101" s="6"/>
      <c r="AV101" s="2"/>
      <c r="AW101" s="6"/>
      <c r="AX101" s="2"/>
      <c r="BA101" s="6"/>
      <c r="BB101" s="2"/>
    </row>
    <row r="102" spans="1:254" ht="14.5" x14ac:dyDescent="0.35">
      <c r="C102" s="62" t="s">
        <v>220</v>
      </c>
      <c r="D102" s="62"/>
      <c r="L102" s="2"/>
      <c r="AH102" s="6"/>
      <c r="AI102" s="2"/>
      <c r="AU102" s="6"/>
      <c r="AV102" s="2"/>
      <c r="AW102" s="6"/>
      <c r="AX102" s="2"/>
      <c r="BA102" s="6"/>
      <c r="BB102" s="2"/>
    </row>
    <row r="103" spans="1:254" ht="14.5" x14ac:dyDescent="0.35">
      <c r="C103" s="62" t="s">
        <v>221</v>
      </c>
      <c r="D103" s="62"/>
      <c r="L103" s="2"/>
      <c r="AH103" s="6"/>
      <c r="AI103" s="2"/>
      <c r="AU103" s="6"/>
      <c r="AV103" s="2"/>
      <c r="AW103" s="6"/>
      <c r="AX103" s="2"/>
      <c r="BA103" s="6"/>
      <c r="BB103" s="2"/>
    </row>
    <row r="104" spans="1:254" ht="14.5" x14ac:dyDescent="0.35">
      <c r="C104" s="63" t="s">
        <v>222</v>
      </c>
      <c r="D104" s="62"/>
      <c r="L104" s="2"/>
      <c r="AH104" s="6"/>
      <c r="AI104" s="2"/>
      <c r="AU104" s="6"/>
      <c r="AV104" s="2"/>
      <c r="AW104" s="6"/>
      <c r="AX104" s="2"/>
      <c r="BA104" s="6"/>
      <c r="BB104" s="2"/>
    </row>
    <row r="105" spans="1:254" ht="14.5" x14ac:dyDescent="0.35">
      <c r="C105" s="63" t="s">
        <v>223</v>
      </c>
      <c r="D105" s="62"/>
      <c r="L105" s="2"/>
      <c r="AH105" s="6"/>
      <c r="AI105" s="2"/>
      <c r="AU105" s="6"/>
      <c r="AV105" s="2"/>
      <c r="AW105" s="6"/>
      <c r="AX105" s="2"/>
      <c r="BA105" s="6"/>
      <c r="BB105" s="2"/>
    </row>
    <row r="106" spans="1:254" ht="14.5" x14ac:dyDescent="0.35">
      <c r="C106" s="63" t="s">
        <v>224</v>
      </c>
      <c r="D106" s="62"/>
      <c r="L106" s="2"/>
      <c r="AH106" s="6"/>
      <c r="AI106" s="2"/>
      <c r="AU106" s="6"/>
      <c r="AV106" s="2"/>
      <c r="AW106" s="6"/>
      <c r="AX106" s="2"/>
      <c r="BA106" s="6"/>
      <c r="BB106" s="2"/>
    </row>
    <row r="107" spans="1:254" ht="14.5" x14ac:dyDescent="0.35">
      <c r="C107" s="63" t="s">
        <v>225</v>
      </c>
      <c r="D107" s="62"/>
      <c r="L107" s="2"/>
      <c r="AH107" s="6"/>
      <c r="AI107" s="2"/>
      <c r="AU107" s="6"/>
      <c r="AV107" s="2"/>
      <c r="AW107" s="6"/>
      <c r="AX107" s="2"/>
      <c r="BA107" s="6"/>
      <c r="BB107" s="2"/>
    </row>
    <row r="108" spans="1:254" ht="14.5" x14ac:dyDescent="0.35">
      <c r="C108" s="63" t="s">
        <v>226</v>
      </c>
      <c r="D108" s="62"/>
      <c r="L108" s="2"/>
      <c r="AH108" s="6"/>
      <c r="AI108" s="2"/>
      <c r="AU108" s="6"/>
      <c r="AV108" s="2"/>
      <c r="AW108" s="6"/>
      <c r="AX108" s="2"/>
      <c r="BA108" s="6"/>
      <c r="BB108" s="2"/>
    </row>
    <row r="109" spans="1:254" ht="14.5" x14ac:dyDescent="0.35">
      <c r="C109" s="63" t="s">
        <v>227</v>
      </c>
      <c r="D109" s="62"/>
      <c r="L109" s="2"/>
      <c r="AH109" s="6"/>
      <c r="AI109" s="2"/>
      <c r="AU109" s="6"/>
      <c r="AV109" s="2"/>
      <c r="AW109" s="6"/>
      <c r="AX109" s="2"/>
      <c r="BA109" s="6"/>
      <c r="BB109" s="2"/>
    </row>
    <row r="110" spans="1:254" ht="14.5" x14ac:dyDescent="0.35">
      <c r="C110" s="62" t="s">
        <v>228</v>
      </c>
      <c r="D110" s="62"/>
      <c r="L110" s="2"/>
      <c r="AH110" s="6"/>
      <c r="AI110" s="2"/>
      <c r="AU110" s="6"/>
      <c r="AV110" s="2"/>
      <c r="AW110" s="6"/>
      <c r="AX110" s="2"/>
      <c r="BA110" s="6"/>
      <c r="BB110" s="2"/>
    </row>
    <row r="111" spans="1:254" ht="14.5" x14ac:dyDescent="0.35">
      <c r="C111" s="62" t="s">
        <v>229</v>
      </c>
      <c r="D111" s="62"/>
      <c r="L111" s="2"/>
      <c r="AH111" s="6"/>
      <c r="AI111" s="2"/>
      <c r="AU111" s="6"/>
      <c r="AV111" s="2"/>
      <c r="AW111" s="6"/>
      <c r="AX111" s="2"/>
      <c r="BA111" s="6"/>
      <c r="BB111" s="2"/>
    </row>
    <row r="112" spans="1:254" ht="14.5" x14ac:dyDescent="0.35">
      <c r="C112" s="63" t="s">
        <v>230</v>
      </c>
      <c r="D112" s="62"/>
      <c r="L112" s="2"/>
      <c r="AH112" s="6"/>
      <c r="AI112" s="2"/>
      <c r="AU112" s="6"/>
      <c r="AV112" s="2"/>
      <c r="AW112" s="6"/>
      <c r="AX112" s="2"/>
      <c r="BA112" s="6"/>
      <c r="BB112" s="2"/>
    </row>
    <row r="113" spans="1:254" ht="14.5" x14ac:dyDescent="0.35">
      <c r="C113" s="62" t="s">
        <v>231</v>
      </c>
      <c r="D113" s="62"/>
      <c r="L113" s="2"/>
      <c r="AH113" s="6"/>
      <c r="AI113" s="2"/>
      <c r="AU113" s="6"/>
      <c r="AV113" s="2"/>
      <c r="AW113" s="6"/>
      <c r="AX113" s="2"/>
      <c r="BA113" s="6"/>
      <c r="BB113" s="2"/>
    </row>
    <row r="114" spans="1:254" ht="14.5" x14ac:dyDescent="0.35">
      <c r="C114" s="63" t="s">
        <v>232</v>
      </c>
      <c r="D114" s="62"/>
      <c r="L114" s="2"/>
      <c r="AH114" s="6"/>
      <c r="AI114" s="2"/>
      <c r="AU114" s="6"/>
      <c r="AV114" s="2"/>
      <c r="AW114" s="6"/>
      <c r="AX114" s="2"/>
      <c r="BA114" s="6"/>
      <c r="BB114" s="2"/>
    </row>
    <row r="115" spans="1:254" ht="14.5" x14ac:dyDescent="0.35">
      <c r="C115" s="63" t="s">
        <v>233</v>
      </c>
      <c r="D115" s="62"/>
      <c r="L115" s="2"/>
      <c r="AH115" s="6"/>
      <c r="AI115" s="2"/>
      <c r="AU115" s="6"/>
      <c r="AV115" s="2"/>
      <c r="AW115" s="6"/>
      <c r="AX115" s="2"/>
      <c r="BA115" s="6"/>
      <c r="BB115" s="2"/>
    </row>
    <row r="116" spans="1:254" ht="14.5" x14ac:dyDescent="0.35">
      <c r="C116" s="63"/>
      <c r="D116" s="62"/>
      <c r="L116" s="2"/>
      <c r="AH116" s="6"/>
      <c r="AI116" s="2"/>
      <c r="AU116" s="6"/>
      <c r="AV116" s="2"/>
      <c r="AW116" s="6"/>
      <c r="AX116" s="2"/>
      <c r="BA116" s="6"/>
      <c r="BB116" s="2"/>
    </row>
    <row r="117" spans="1:254" x14ac:dyDescent="0.35">
      <c r="C117" s="64" t="s">
        <v>234</v>
      </c>
      <c r="L117" s="2"/>
      <c r="AH117" s="6"/>
      <c r="AI117" s="2"/>
      <c r="AU117" s="6"/>
      <c r="AV117" s="2"/>
      <c r="AW117" s="6"/>
      <c r="AX117" s="2"/>
      <c r="BA117" s="6"/>
      <c r="BB117" s="2"/>
    </row>
    <row r="118" spans="1:254" ht="14" thickBot="1" x14ac:dyDescent="0.4">
      <c r="L118" s="2"/>
      <c r="AH118" s="6"/>
      <c r="AI118" s="2"/>
      <c r="AU118" s="6"/>
      <c r="AV118" s="2"/>
      <c r="AW118" s="6"/>
      <c r="AX118" s="2"/>
      <c r="BA118" s="6"/>
      <c r="BB118" s="2"/>
    </row>
    <row r="119" spans="1:254" ht="249" customHeight="1" thickBot="1" x14ac:dyDescent="0.4">
      <c r="C119" s="65"/>
      <c r="D119" s="66"/>
      <c r="E119" s="66"/>
      <c r="F119" s="67"/>
      <c r="G119" s="68"/>
      <c r="L119" s="2"/>
      <c r="AH119" s="6"/>
      <c r="AI119" s="2"/>
      <c r="AU119" s="6"/>
      <c r="AV119" s="2"/>
      <c r="AW119" s="6"/>
      <c r="AX119" s="2"/>
      <c r="BA119" s="6"/>
      <c r="BB119" s="2"/>
    </row>
    <row r="120" spans="1:254" ht="25.5" customHeight="1" thickBot="1" x14ac:dyDescent="0.4">
      <c r="A120" s="69"/>
      <c r="B120" s="69"/>
      <c r="C120" s="75" t="s">
        <v>235</v>
      </c>
      <c r="D120" s="76"/>
      <c r="E120" s="76"/>
      <c r="F120" s="76"/>
      <c r="G120" s="77"/>
      <c r="H120" s="70"/>
      <c r="I120" s="70"/>
      <c r="J120" s="70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71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71"/>
      <c r="AU120" s="69"/>
      <c r="AV120" s="71"/>
      <c r="AW120" s="69"/>
      <c r="AX120" s="69"/>
      <c r="AY120" s="69"/>
      <c r="AZ120" s="71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  <c r="BP120" s="69"/>
      <c r="BQ120" s="69"/>
      <c r="BR120" s="69"/>
      <c r="BS120" s="69"/>
      <c r="BT120" s="69"/>
      <c r="BU120" s="69"/>
      <c r="BV120" s="69"/>
      <c r="BW120" s="69"/>
      <c r="BX120" s="69"/>
      <c r="BY120" s="69"/>
      <c r="BZ120" s="69"/>
      <c r="CA120" s="69"/>
      <c r="CB120" s="69"/>
      <c r="CC120" s="69"/>
      <c r="CD120" s="69"/>
      <c r="CE120" s="69"/>
      <c r="CF120" s="69"/>
      <c r="CG120" s="69"/>
      <c r="CH120" s="69"/>
      <c r="CI120" s="69"/>
      <c r="CJ120" s="69"/>
      <c r="CK120" s="69"/>
      <c r="CL120" s="69"/>
      <c r="CM120" s="69"/>
      <c r="CN120" s="69"/>
      <c r="CO120" s="69"/>
      <c r="CP120" s="69"/>
      <c r="CQ120" s="69"/>
      <c r="CR120" s="69"/>
      <c r="CS120" s="69"/>
      <c r="CT120" s="69"/>
      <c r="CU120" s="69"/>
      <c r="CV120" s="69"/>
      <c r="CW120" s="69"/>
      <c r="CX120" s="69"/>
      <c r="CY120" s="69"/>
      <c r="CZ120" s="69"/>
      <c r="DA120" s="69"/>
      <c r="DB120" s="69"/>
      <c r="DC120" s="69"/>
      <c r="DD120" s="69"/>
      <c r="DE120" s="69"/>
      <c r="DF120" s="69"/>
      <c r="DG120" s="69"/>
      <c r="DH120" s="69"/>
      <c r="DI120" s="69"/>
      <c r="DJ120" s="69"/>
      <c r="DK120" s="69"/>
      <c r="DL120" s="69"/>
      <c r="DM120" s="69"/>
      <c r="DN120" s="69"/>
      <c r="DO120" s="69"/>
      <c r="DP120" s="69"/>
      <c r="DQ120" s="69"/>
      <c r="DR120" s="69"/>
      <c r="DS120" s="69"/>
      <c r="DT120" s="69"/>
      <c r="DU120" s="69"/>
      <c r="DV120" s="69"/>
      <c r="DW120" s="69"/>
      <c r="DX120" s="69"/>
      <c r="DY120" s="69"/>
      <c r="DZ120" s="69"/>
      <c r="EA120" s="69"/>
      <c r="EB120" s="69"/>
      <c r="EC120" s="69"/>
      <c r="ED120" s="69"/>
      <c r="EE120" s="69"/>
      <c r="EF120" s="69"/>
      <c r="EG120" s="69"/>
      <c r="EH120" s="69"/>
      <c r="EI120" s="69"/>
      <c r="EJ120" s="69"/>
      <c r="EK120" s="69"/>
      <c r="EL120" s="69"/>
      <c r="EM120" s="69"/>
      <c r="EN120" s="69"/>
      <c r="EO120" s="69"/>
      <c r="EP120" s="69"/>
      <c r="EQ120" s="69"/>
      <c r="ER120" s="69"/>
      <c r="ES120" s="69"/>
      <c r="ET120" s="69"/>
      <c r="EU120" s="69"/>
      <c r="EV120" s="69"/>
      <c r="EW120" s="69"/>
      <c r="EX120" s="69"/>
      <c r="EY120" s="69"/>
      <c r="EZ120" s="69"/>
      <c r="FA120" s="69"/>
      <c r="FB120" s="69"/>
      <c r="FC120" s="69"/>
      <c r="FD120" s="69"/>
      <c r="FE120" s="69"/>
      <c r="FF120" s="69"/>
      <c r="FG120" s="69"/>
      <c r="FH120" s="69"/>
      <c r="FI120" s="69"/>
      <c r="FJ120" s="69"/>
      <c r="FK120" s="69"/>
      <c r="FL120" s="69"/>
      <c r="FM120" s="69"/>
      <c r="FN120" s="69"/>
      <c r="FO120" s="69"/>
      <c r="FP120" s="69"/>
      <c r="FQ120" s="69"/>
      <c r="FR120" s="69"/>
      <c r="FS120" s="69"/>
      <c r="FT120" s="69"/>
      <c r="FU120" s="69"/>
      <c r="FV120" s="69"/>
      <c r="FW120" s="69"/>
      <c r="FX120" s="69"/>
      <c r="FY120" s="69"/>
      <c r="FZ120" s="69"/>
      <c r="GA120" s="69"/>
      <c r="GB120" s="69"/>
      <c r="GC120" s="69"/>
      <c r="GD120" s="69"/>
      <c r="GE120" s="69"/>
      <c r="GF120" s="69"/>
      <c r="GG120" s="69"/>
      <c r="GH120" s="69"/>
      <c r="GI120" s="69"/>
      <c r="GJ120" s="69"/>
      <c r="GK120" s="69"/>
      <c r="GL120" s="69"/>
      <c r="GM120" s="69"/>
      <c r="GN120" s="69"/>
      <c r="GO120" s="69"/>
      <c r="GP120" s="69"/>
      <c r="GQ120" s="69"/>
      <c r="GR120" s="69"/>
      <c r="GS120" s="69"/>
      <c r="GT120" s="69"/>
      <c r="GU120" s="69"/>
      <c r="GV120" s="69"/>
      <c r="GW120" s="69"/>
      <c r="GX120" s="69"/>
      <c r="GY120" s="69"/>
      <c r="GZ120" s="69"/>
      <c r="HA120" s="69"/>
      <c r="HB120" s="69"/>
      <c r="HC120" s="69"/>
      <c r="HD120" s="69"/>
      <c r="HE120" s="69"/>
      <c r="HF120" s="69"/>
      <c r="HG120" s="69"/>
      <c r="HH120" s="69"/>
      <c r="HI120" s="69"/>
      <c r="HJ120" s="69"/>
      <c r="HK120" s="69"/>
      <c r="HL120" s="69"/>
      <c r="HM120" s="69"/>
      <c r="HN120" s="69"/>
      <c r="HO120" s="69"/>
      <c r="HP120" s="69"/>
      <c r="HQ120" s="69"/>
      <c r="HR120" s="69"/>
      <c r="HS120" s="69"/>
      <c r="HT120" s="69"/>
      <c r="HU120" s="69"/>
      <c r="HV120" s="69"/>
      <c r="HW120" s="69"/>
      <c r="HX120" s="69"/>
      <c r="HY120" s="69"/>
      <c r="HZ120" s="69"/>
      <c r="IA120" s="69"/>
      <c r="IB120" s="69"/>
      <c r="IC120" s="69"/>
      <c r="ID120" s="69"/>
      <c r="IE120" s="69"/>
      <c r="IF120" s="69"/>
      <c r="IG120" s="69"/>
      <c r="IH120" s="69"/>
      <c r="II120" s="69"/>
      <c r="IJ120" s="69"/>
      <c r="IK120" s="69"/>
      <c r="IL120" s="69"/>
      <c r="IM120" s="69"/>
      <c r="IN120" s="69"/>
      <c r="IO120" s="69"/>
      <c r="IP120" s="69"/>
      <c r="IQ120" s="69"/>
      <c r="IR120" s="69"/>
      <c r="IS120" s="69"/>
      <c r="IT120" s="69"/>
    </row>
    <row r="121" spans="1:254" ht="143" x14ac:dyDescent="0.35">
      <c r="A121" s="69"/>
      <c r="B121" s="69"/>
      <c r="C121" s="72" t="s">
        <v>236</v>
      </c>
      <c r="D121" s="73"/>
      <c r="E121" s="73"/>
      <c r="F121" s="74"/>
      <c r="G121" s="70"/>
      <c r="H121" s="70"/>
      <c r="I121" s="70"/>
      <c r="J121" s="70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71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71"/>
      <c r="AU121" s="69"/>
      <c r="AV121" s="71"/>
      <c r="AW121" s="69"/>
      <c r="AX121" s="69"/>
      <c r="AY121" s="69"/>
      <c r="AZ121" s="71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  <c r="BP121" s="69"/>
      <c r="BQ121" s="69"/>
      <c r="BR121" s="69"/>
      <c r="BS121" s="69"/>
      <c r="BT121" s="69"/>
      <c r="BU121" s="69"/>
      <c r="BV121" s="69"/>
      <c r="BW121" s="69"/>
      <c r="BX121" s="69"/>
      <c r="BY121" s="69"/>
      <c r="BZ121" s="69"/>
      <c r="CA121" s="69"/>
      <c r="CB121" s="69"/>
      <c r="CC121" s="69"/>
      <c r="CD121" s="69"/>
      <c r="CE121" s="69"/>
      <c r="CF121" s="69"/>
      <c r="CG121" s="69"/>
      <c r="CH121" s="69"/>
      <c r="CI121" s="69"/>
      <c r="CJ121" s="69"/>
      <c r="CK121" s="69"/>
      <c r="CL121" s="69"/>
      <c r="CM121" s="69"/>
      <c r="CN121" s="69"/>
      <c r="CO121" s="69"/>
      <c r="CP121" s="69"/>
      <c r="CQ121" s="69"/>
      <c r="CR121" s="69"/>
      <c r="CS121" s="69"/>
      <c r="CT121" s="69"/>
      <c r="CU121" s="69"/>
      <c r="CV121" s="69"/>
      <c r="CW121" s="69"/>
      <c r="CX121" s="69"/>
      <c r="CY121" s="69"/>
      <c r="CZ121" s="69"/>
      <c r="DA121" s="69"/>
      <c r="DB121" s="69"/>
      <c r="DC121" s="69"/>
      <c r="DD121" s="69"/>
      <c r="DE121" s="69"/>
      <c r="DF121" s="69"/>
      <c r="DG121" s="69"/>
      <c r="DH121" s="69"/>
      <c r="DI121" s="69"/>
      <c r="DJ121" s="69"/>
      <c r="DK121" s="69"/>
      <c r="DL121" s="69"/>
      <c r="DM121" s="69"/>
      <c r="DN121" s="69"/>
      <c r="DO121" s="69"/>
      <c r="DP121" s="69"/>
      <c r="DQ121" s="69"/>
      <c r="DR121" s="69"/>
      <c r="DS121" s="69"/>
      <c r="DT121" s="69"/>
      <c r="DU121" s="69"/>
      <c r="DV121" s="69"/>
      <c r="DW121" s="69"/>
      <c r="DX121" s="69"/>
      <c r="DY121" s="69"/>
      <c r="DZ121" s="69"/>
      <c r="EA121" s="69"/>
      <c r="EB121" s="69"/>
      <c r="EC121" s="69"/>
      <c r="ED121" s="69"/>
      <c r="EE121" s="69"/>
      <c r="EF121" s="69"/>
      <c r="EG121" s="69"/>
      <c r="EH121" s="69"/>
      <c r="EI121" s="69"/>
      <c r="EJ121" s="69"/>
      <c r="EK121" s="69"/>
      <c r="EL121" s="69"/>
      <c r="EM121" s="69"/>
      <c r="EN121" s="69"/>
      <c r="EO121" s="69"/>
      <c r="EP121" s="69"/>
      <c r="EQ121" s="69"/>
      <c r="ER121" s="69"/>
      <c r="ES121" s="69"/>
      <c r="ET121" s="69"/>
      <c r="EU121" s="69"/>
      <c r="EV121" s="69"/>
      <c r="EW121" s="69"/>
      <c r="EX121" s="69"/>
      <c r="EY121" s="69"/>
      <c r="EZ121" s="69"/>
      <c r="FA121" s="69"/>
      <c r="FB121" s="69"/>
      <c r="FC121" s="69"/>
      <c r="FD121" s="69"/>
      <c r="FE121" s="69"/>
      <c r="FF121" s="69"/>
      <c r="FG121" s="69"/>
      <c r="FH121" s="69"/>
      <c r="FI121" s="69"/>
      <c r="FJ121" s="69"/>
      <c r="FK121" s="69"/>
      <c r="FL121" s="69"/>
      <c r="FM121" s="69"/>
      <c r="FN121" s="69"/>
      <c r="FO121" s="69"/>
      <c r="FP121" s="69"/>
      <c r="FQ121" s="69"/>
      <c r="FR121" s="69"/>
      <c r="FS121" s="69"/>
      <c r="FT121" s="69"/>
      <c r="FU121" s="69"/>
      <c r="FV121" s="69"/>
      <c r="FW121" s="69"/>
      <c r="FX121" s="69"/>
      <c r="FY121" s="69"/>
      <c r="FZ121" s="69"/>
      <c r="GA121" s="69"/>
      <c r="GB121" s="69"/>
      <c r="GC121" s="69"/>
      <c r="GD121" s="69"/>
      <c r="GE121" s="69"/>
      <c r="GF121" s="69"/>
      <c r="GG121" s="69"/>
      <c r="GH121" s="69"/>
      <c r="GI121" s="69"/>
      <c r="GJ121" s="69"/>
      <c r="GK121" s="69"/>
      <c r="GL121" s="69"/>
      <c r="GM121" s="69"/>
      <c r="GN121" s="69"/>
      <c r="GO121" s="69"/>
      <c r="GP121" s="69"/>
      <c r="GQ121" s="69"/>
      <c r="GR121" s="69"/>
      <c r="GS121" s="69"/>
      <c r="GT121" s="69"/>
      <c r="GU121" s="69"/>
      <c r="GV121" s="69"/>
      <c r="GW121" s="69"/>
      <c r="GX121" s="69"/>
      <c r="GY121" s="69"/>
      <c r="GZ121" s="69"/>
      <c r="HA121" s="69"/>
      <c r="HB121" s="69"/>
      <c r="HC121" s="69"/>
      <c r="HD121" s="69"/>
      <c r="HE121" s="69"/>
      <c r="HF121" s="69"/>
      <c r="HG121" s="69"/>
      <c r="HH121" s="69"/>
      <c r="HI121" s="69"/>
      <c r="HJ121" s="69"/>
      <c r="HK121" s="69"/>
      <c r="HL121" s="69"/>
      <c r="HM121" s="69"/>
      <c r="HN121" s="69"/>
      <c r="HO121" s="69"/>
      <c r="HP121" s="69"/>
      <c r="HQ121" s="69"/>
      <c r="HR121" s="69"/>
      <c r="HS121" s="69"/>
      <c r="HT121" s="69"/>
      <c r="HU121" s="69"/>
      <c r="HV121" s="69"/>
      <c r="HW121" s="69"/>
      <c r="HX121" s="69"/>
      <c r="HY121" s="69"/>
      <c r="HZ121" s="69"/>
      <c r="IA121" s="69"/>
      <c r="IB121" s="69"/>
      <c r="IC121" s="69"/>
      <c r="ID121" s="69"/>
      <c r="IE121" s="69"/>
      <c r="IF121" s="69"/>
      <c r="IG121" s="69"/>
      <c r="IH121" s="69"/>
      <c r="II121" s="69"/>
      <c r="IJ121" s="69"/>
      <c r="IK121" s="69"/>
      <c r="IL121" s="69"/>
      <c r="IM121" s="69"/>
      <c r="IN121" s="69"/>
      <c r="IO121" s="69"/>
      <c r="IP121" s="69"/>
      <c r="IQ121" s="69"/>
      <c r="IR121" s="69"/>
      <c r="IS121" s="69"/>
      <c r="IT121" s="69"/>
    </row>
  </sheetData>
  <mergeCells count="9">
    <mergeCell ref="C94:C95"/>
    <mergeCell ref="D94:E94"/>
    <mergeCell ref="C120:G120"/>
    <mergeCell ref="C2:J2"/>
    <mergeCell ref="D3:J3"/>
    <mergeCell ref="D4:J4"/>
    <mergeCell ref="C81:J81"/>
    <mergeCell ref="C83:J83"/>
    <mergeCell ref="C93:E93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HMCF</vt:lpstr>
      <vt:lpstr>HMCF!XDO_?CLASS_3?4?</vt:lpstr>
      <vt:lpstr>HMCF!XDO_?FINAL_ISIN?12?</vt:lpstr>
      <vt:lpstr>HMCF!XDO_?FINAL_ISIN?13?</vt:lpstr>
      <vt:lpstr>HMCF!XDO_?FINAL_ISIN?14?</vt:lpstr>
      <vt:lpstr>HMCF!XDO_?FINAL_MV?12?</vt:lpstr>
      <vt:lpstr>HMCF!XDO_?FINAL_MV?13?</vt:lpstr>
      <vt:lpstr>HMCF!XDO_?FINAL_MV?14?</vt:lpstr>
      <vt:lpstr>HMCF!XDO_?FINAL_NAME?12?</vt:lpstr>
      <vt:lpstr>HMCF!XDO_?FINAL_NAME?13?</vt:lpstr>
      <vt:lpstr>HMCF!XDO_?FINAL_NAME?14?</vt:lpstr>
      <vt:lpstr>HMCF!XDO_?FINAL_PER_NET?12?</vt:lpstr>
      <vt:lpstr>HMCF!XDO_?FINAL_PER_NET?13?</vt:lpstr>
      <vt:lpstr>HMCF!XDO_?FINAL_PER_NET?14?</vt:lpstr>
      <vt:lpstr>HMCF!XDO_?FINAL_QUANTITE?12?</vt:lpstr>
      <vt:lpstr>HMCF!XDO_?FINAL_QUANTITE?13?</vt:lpstr>
      <vt:lpstr>HMCF!XDO_?FINAL_QUANTITE?14?</vt:lpstr>
      <vt:lpstr>HMCF!XDO_?NAMCNAME?4?</vt:lpstr>
      <vt:lpstr>HMCF!XDO_?NOVAL?12?</vt:lpstr>
      <vt:lpstr>HMCF!XDO_?NOVAL?13?</vt:lpstr>
      <vt:lpstr>HMCF!XDO_?NOVAL?14?</vt:lpstr>
      <vt:lpstr>HMCF!XDO_?NPTF?4?</vt:lpstr>
      <vt:lpstr>HMCF!XDO_?RATING?12?</vt:lpstr>
      <vt:lpstr>HMCF!XDO_?RATING?13?</vt:lpstr>
      <vt:lpstr>HMCF!XDO_?RATING?14?</vt:lpstr>
      <vt:lpstr>HMCF!XDO_?REMARKS?12?</vt:lpstr>
      <vt:lpstr>HMCF!XDO_?REMARKS?13?</vt:lpstr>
      <vt:lpstr>HMCF!XDO_?REMARKS?14?</vt:lpstr>
      <vt:lpstr>HMCF!XDO_?TITL?4?</vt:lpstr>
      <vt:lpstr>HMCF!XDO_?YTM?12?</vt:lpstr>
      <vt:lpstr>HMCF!XDO_?YTM?13?</vt:lpstr>
      <vt:lpstr>HMCF!XDO_?YTM?14?</vt:lpstr>
      <vt:lpstr>HMCF!XDO_GROUP_?G_2?4?</vt:lpstr>
      <vt:lpstr>HMCF!XDO_GROUP_?G_3?4?</vt:lpstr>
      <vt:lpstr>HMCF!XDO_GROUP_?G_4?12?</vt:lpstr>
      <vt:lpstr>HMCF!XDO_GROUP_?G_4?13?</vt:lpstr>
      <vt:lpstr>HMCF!XDO_GROUP_?G_4?14?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2025-06-06T07:15:50Z</dcterms:created>
  <dcterms:modified xsi:type="dcterms:W3CDTF">2025-06-06T12:11:48Z</dcterms:modified>
</cp:coreProperties>
</file>