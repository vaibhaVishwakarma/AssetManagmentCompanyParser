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19 May'25\Monthly Portfolios\HeliosMF_Monthtly Portfolio_31st May  2025___\"/>
    </mc:Choice>
  </mc:AlternateContent>
  <xr:revisionPtr revIDLastSave="0" documentId="13_ncr:1_{FE784627-01DB-4A71-8F8D-AC300849DAC5}" xr6:coauthVersionLast="47" xr6:coauthVersionMax="47" xr10:uidLastSave="{00000000-0000-0000-0000-000000000000}"/>
  <bookViews>
    <workbookView xWindow="-110" yWindow="-110" windowWidth="19420" windowHeight="10300" xr2:uid="{4D52773C-4CD3-4D5A-A3EF-EC5AFECC211C}"/>
  </bookViews>
  <sheets>
    <sheet name="HFSF" sheetId="1" r:id="rId1"/>
  </sheets>
  <externalReferences>
    <externalReference r:id="rId2"/>
  </externalReferences>
  <definedNames>
    <definedName name="XDO_?CLASS_3?3?">HFSF!$C$9:$C$32</definedName>
    <definedName name="XDO_?FINAL_ISIN?10?">HFSF!$D$11:$D$37</definedName>
    <definedName name="XDO_?FINAL_ISIN?11?">HFSF!$D$11:$D$39</definedName>
    <definedName name="XDO_?FINAL_ISIN?9?">HFSF!$D$11:$D$32</definedName>
    <definedName name="XDO_?FINAL_MV?10?">HFSF!$G$11:$G$37</definedName>
    <definedName name="XDO_?FINAL_MV?11?">HFSF!$G$11:$G$39</definedName>
    <definedName name="XDO_?FINAL_MV?9?">HFSF!$G$11:$G$32</definedName>
    <definedName name="XDO_?FINAL_NAME?10?">HFSF!$C$11:$C$37</definedName>
    <definedName name="XDO_?FINAL_NAME?11?">HFSF!$C$11:$C$39</definedName>
    <definedName name="XDO_?FINAL_NAME?9?">HFSF!$C$11:$C$32</definedName>
    <definedName name="XDO_?FINAL_PER_NET?10?">HFSF!$H$11:$H$37</definedName>
    <definedName name="XDO_?FINAL_PER_NET?11?">HFSF!$H$11:$H$39</definedName>
    <definedName name="XDO_?FINAL_PER_NET?9?">HFSF!$H$11:$H$32</definedName>
    <definedName name="XDO_?FINAL_QUANTITE?10?">HFSF!$F$11:$F$37</definedName>
    <definedName name="XDO_?FINAL_QUANTITE?11?">HFSF!$F$11:$F$39</definedName>
    <definedName name="XDO_?FINAL_QUANTITE?9?">HFSF!$F$11:$F$32</definedName>
    <definedName name="XDO_?NAMC?">[1]HOF!#REF!</definedName>
    <definedName name="XDO_?NAMC?1?">[1]HFCF!#REF!</definedName>
    <definedName name="XDO_?NAMC?2?">[1]HBAF!#REF!</definedName>
    <definedName name="XDO_?NAMC?3?">HFSF!#REF!</definedName>
    <definedName name="XDO_?NAMC?4?">[1]HLM!#REF!</definedName>
    <definedName name="XDO_?NAMCNAME?3?">HFSF!$C$2:$C$32</definedName>
    <definedName name="XDO_?NDATE?">[1]HOF!#REF!</definedName>
    <definedName name="XDO_?NDATE?1?">[1]HFCF!#REF!</definedName>
    <definedName name="XDO_?NDATE?2?">[1]HBAF!#REF!</definedName>
    <definedName name="XDO_?NDATE?3?">HFSF!#REF!</definedName>
    <definedName name="XDO_?NDATE?4?">[1]HLM!#REF!</definedName>
    <definedName name="XDO_?NNPTF?">[1]HOF!#REF!</definedName>
    <definedName name="XDO_?NNPTF?1?">[1]HFCF!#REF!</definedName>
    <definedName name="XDO_?NNPTF?2?">[1]HBAF!#REF!</definedName>
    <definedName name="XDO_?NNPTF?3?">HFSF!#REF!</definedName>
    <definedName name="XDO_?NNPTF?4?">[1]HLM!#REF!</definedName>
    <definedName name="XDO_?NOVAL?10?">HFSF!$B$11:$B$37</definedName>
    <definedName name="XDO_?NOVAL?11?">HFSF!$B$11:$B$39</definedName>
    <definedName name="XDO_?NOVAL?9?">HFSF!$B$11:$B$32</definedName>
    <definedName name="XDO_?NPTF?3?">HFSF!$D$2:$D$32</definedName>
    <definedName name="XDO_?RATING?10?">HFSF!$E$11:$E$37</definedName>
    <definedName name="XDO_?RATING?11?">HFSF!$E$11:$E$39</definedName>
    <definedName name="XDO_?RATING?9?">HFSF!$E$11:$E$32</definedName>
    <definedName name="XDO_?REMARKS?10?">HFSF!$K$11:$K$37</definedName>
    <definedName name="XDO_?REMARKS?11?">HFSF!$K$11:$K$39</definedName>
    <definedName name="XDO_?REMARKS?9?">HFSF!$K$11:$K$32</definedName>
    <definedName name="XDO_?TITL?3?">HFSF!$A$9:$A$32</definedName>
    <definedName name="XDO_?YTM?10?">HFSF!$I$11:$I$37</definedName>
    <definedName name="XDO_?YTM?11?">HFSF!$I$11:$I$39</definedName>
    <definedName name="XDO_?YTM?9?">HFSF!$I$11:$I$32</definedName>
    <definedName name="XDO_GROUP_?G_2?3?">HFSF!$2:$39</definedName>
    <definedName name="XDO_GROUP_?G_3?3?">HFSF!$9:$39</definedName>
    <definedName name="XDO_GROUP_?G_4?10?">HFSF!$B$37:$IV$37</definedName>
    <definedName name="XDO_GROUP_?G_4?11?">HFSF!#REF!</definedName>
    <definedName name="XDO_GROUP_?G_4?2?">[1]HFCF!#REF!</definedName>
    <definedName name="XDO_GROUP_?G_4?3?">[1]HFCF!#REF!</definedName>
    <definedName name="XDO_GROUP_?G_4?8?">[1]HBAF!#REF!</definedName>
    <definedName name="XDO_GROUP_?G_4?9?">HFSF!$B$11:$IV$32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</calcChain>
</file>

<file path=xl/sharedStrings.xml><?xml version="1.0" encoding="utf-8"?>
<sst xmlns="http://schemas.openxmlformats.org/spreadsheetml/2006/main" count="154" uniqueCount="129">
  <si>
    <t>Helios Mutual Fund</t>
  </si>
  <si>
    <t>SCHEME NAME :</t>
  </si>
  <si>
    <t>Helios Financial Services Fund (An open-ended equity scheme investing in financial services sector)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</si>
  <si>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</si>
  <si>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</si>
  <si>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</si>
  <si>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</si>
  <si>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</si>
  <si>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</si>
  <si>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</si>
  <si>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</si>
  <si>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</si>
  <si>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</si>
  <si>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</si>
  <si>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</si>
  <si>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</si>
  <si>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</si>
  <si>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</si>
  <si>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100006</t>
  </si>
  <si>
    <t>ICICI Bank Ltd.</t>
  </si>
  <si>
    <t>INE090A01021</t>
  </si>
  <si>
    <t>100012</t>
  </si>
  <si>
    <t>Bajaj Finance Ltd.</t>
  </si>
  <si>
    <t>INE296A01024</t>
  </si>
  <si>
    <t>Finance</t>
  </si>
  <si>
    <t>100010</t>
  </si>
  <si>
    <t>HDFC Asset Management Co. Ltd.</t>
  </si>
  <si>
    <t>INE127D01025</t>
  </si>
  <si>
    <t>Capital Markets</t>
  </si>
  <si>
    <t>100024</t>
  </si>
  <si>
    <t>PNB Housing Finance Ltd.</t>
  </si>
  <si>
    <t>INE572E01012</t>
  </si>
  <si>
    <t>101396</t>
  </si>
  <si>
    <t>SBI Life Insurance Co. Ltd.</t>
  </si>
  <si>
    <t>INE123W01016</t>
  </si>
  <si>
    <t>Insurance</t>
  </si>
  <si>
    <t>101740</t>
  </si>
  <si>
    <t>REC Ltd.</t>
  </si>
  <si>
    <t>INE020B01018</t>
  </si>
  <si>
    <t>100243</t>
  </si>
  <si>
    <t>One 97 Communications Ltd.</t>
  </si>
  <si>
    <t>INE982J01020</t>
  </si>
  <si>
    <t>Financial Technology (Fintech)</t>
  </si>
  <si>
    <t>100195</t>
  </si>
  <si>
    <t>Multi Commodity Exchange of India Ltd.</t>
  </si>
  <si>
    <t>INE745G01035</t>
  </si>
  <si>
    <t>101178</t>
  </si>
  <si>
    <t>State Bank of India</t>
  </si>
  <si>
    <t>INE062A01020</t>
  </si>
  <si>
    <t>100661</t>
  </si>
  <si>
    <t>Kotak Mahindra Bank Ltd.</t>
  </si>
  <si>
    <t>INE237A01028</t>
  </si>
  <si>
    <t>100682</t>
  </si>
  <si>
    <t>HDFC Life Insurance Company Ltd.</t>
  </si>
  <si>
    <t>INE795G01014</t>
  </si>
  <si>
    <t>100148</t>
  </si>
  <si>
    <t>Shriram Finance Ltd.</t>
  </si>
  <si>
    <t>INE721A01047</t>
  </si>
  <si>
    <t>100814</t>
  </si>
  <si>
    <t>Motilal Oswal Financial Services Ltd.</t>
  </si>
  <si>
    <t>INE338I01027</t>
  </si>
  <si>
    <t>100114</t>
  </si>
  <si>
    <t>Cholamandalam Investment &amp; Finance Co. Ltd.</t>
  </si>
  <si>
    <t>INE121A01024</t>
  </si>
  <si>
    <t>100906</t>
  </si>
  <si>
    <t>ICICI Lombard General Insurance Company Ltd.</t>
  </si>
  <si>
    <t>INE765G01017</t>
  </si>
  <si>
    <t>100684</t>
  </si>
  <si>
    <t>Muthoot Finance Ltd.</t>
  </si>
  <si>
    <t>INE414G01012</t>
  </si>
  <si>
    <t>100706</t>
  </si>
  <si>
    <t>Axis Bank Ltd.</t>
  </si>
  <si>
    <t>INE238A01034</t>
  </si>
  <si>
    <t>100399</t>
  </si>
  <si>
    <t>360 ONE WAM Ltd.</t>
  </si>
  <si>
    <t>INE466L01038</t>
  </si>
  <si>
    <t>101390</t>
  </si>
  <si>
    <t>PB Fintech Ltd.</t>
  </si>
  <si>
    <t>INE417T01026</t>
  </si>
  <si>
    <t>100477</t>
  </si>
  <si>
    <t>Manappuram Finance Ltd.</t>
  </si>
  <si>
    <t>INE522D01027</t>
  </si>
  <si>
    <t>100240</t>
  </si>
  <si>
    <t>Aavas Financiers Ltd.</t>
  </si>
  <si>
    <t>INE216P01012</t>
  </si>
  <si>
    <t>100665</t>
  </si>
  <si>
    <t>Total</t>
  </si>
  <si>
    <t>OTHERS</t>
  </si>
  <si>
    <t>TREPS / Reverse Repo Investments</t>
  </si>
  <si>
    <t>TREPS</t>
  </si>
  <si>
    <t>212240100</t>
  </si>
  <si>
    <t>Other Current Assets / (Liabilities)</t>
  </si>
  <si>
    <t>Net Receivable / Payable</t>
  </si>
  <si>
    <t>GRAND TOTAL (AUM)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</si>
  <si>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</si>
  <si>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</si>
  <si>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</si>
  <si>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</si>
  <si>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</si>
  <si>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April  30, 2025</t>
  </si>
  <si>
    <t>NAV Rs. per unit as on May  31, 2025</t>
  </si>
  <si>
    <t>Helios Financial Services Fund - Regular Plan - Growth Option</t>
  </si>
  <si>
    <t>Helios Financial Services Fund - Regular Plan - IDCW Option</t>
  </si>
  <si>
    <t>Helios Financial Services Fund - Direct Plan - Growth Option</t>
  </si>
  <si>
    <t>Helios Financial Services Fund - Direct Plan - IDCW Option</t>
  </si>
  <si>
    <t>Dividend History:Total dividends declared during the month ended May  31,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</si>
  <si>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</si>
  <si>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</si>
  <si>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</si>
  <si>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</si>
  <si>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</si>
  <si>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</si>
  <si>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 31, 2025.</t>
  </si>
  <si>
    <t>Investment in Repo in Corporate Debt Securities during the Month ended May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</si>
  <si>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</si>
  <si>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</si>
  <si>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</si>
  <si>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 31,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</si>
  <si>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</si>
  <si>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 31, 2025 is Nil.</t>
  </si>
  <si>
    <t>Market Value includes accrued interest (if any)</t>
  </si>
  <si>
    <t>Investments in Credit Default Swap (CDS) during the period/as on May  31, 2025: Nil</t>
  </si>
  <si>
    <t>Total value and percentage of illiquid equity shares: Nil</t>
  </si>
  <si>
    <t>Funds parked in short term deposit(s) during the period / as on May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</si>
  <si>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</si>
  <si>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</si>
  <si>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</si>
  <si>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advisers if in doubt about whether the product is suitable for them.</t>
  </si>
  <si>
    <t>  # Please note that the above risk-o-meter is as per the product labelling of the scheme available as on the date of this communication/disclosure. As Para 17.4 of SEBI Master Circular dated June 27, 2024,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</si>
</sst>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D8603"/>
        <bgColor indexed="64"/>
      </patternFill>
    </fill>
    <fill>
      <patternFill patternType="solid">
        <fgColor rgb="FFFD8603"/>
        <bgColor rgb="FFFFFFFF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0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3" fillId="3" borderId="28" xfId="4" applyFont="1" applyFill="1" applyBorder="1"/>
    <xf numFmtId="0" fontId="3" fillId="3" borderId="0" xfId="4" applyFont="1" applyFill="1"/>
    <xf numFmtId="0" fontId="10" fillId="3" borderId="17" xfId="4" applyFont="1" applyFill="1" applyBorder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4" fillId="0" borderId="4" xfId="0" applyFont="1" applyBorder="1"/>
    <xf numFmtId="168" fontId="14" fillId="0" borderId="29" xfId="0" applyNumberFormat="1" applyFont="1" applyBorder="1" applyAlignment="1">
      <alignment horizontal="center" vertical="center"/>
    </xf>
    <xf numFmtId="0" fontId="14" fillId="0" borderId="8" xfId="0" applyFont="1" applyBorder="1"/>
    <xf numFmtId="0" fontId="12" fillId="0" borderId="29" xfId="0" applyFont="1" applyBorder="1" applyAlignment="1">
      <alignment horizontal="center" vertical="center"/>
    </xf>
    <xf numFmtId="0" fontId="12" fillId="0" borderId="41" xfId="0" applyFont="1" applyBorder="1" applyAlignment="1">
      <alignment wrapText="1"/>
    </xf>
    <xf numFmtId="2" fontId="12" fillId="0" borderId="42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4" borderId="0" xfId="2" applyNumberFormat="1" applyFill="1" applyAlignment="1">
      <alignment horizontal="left"/>
    </xf>
    <xf numFmtId="49" fontId="15" fillId="4" borderId="0" xfId="4" applyNumberFormat="1" applyFont="1" applyFill="1" applyAlignment="1">
      <alignment horizontal="left"/>
    </xf>
    <xf numFmtId="0" fontId="16" fillId="0" borderId="43" xfId="0" applyFont="1" applyBorder="1" applyAlignment="1">
      <alignment horizontal="justify" vertical="center" wrapText="1"/>
    </xf>
    <xf numFmtId="0" fontId="16" fillId="0" borderId="44" xfId="0" applyFont="1" applyBorder="1" applyAlignment="1">
      <alignment horizontal="center" vertical="center" wrapText="1"/>
    </xf>
    <xf numFmtId="165" fontId="4" fillId="0" borderId="44" xfId="1" applyNumberFormat="1" applyFont="1" applyBorder="1"/>
    <xf numFmtId="164" fontId="4" fillId="0" borderId="45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18" fillId="0" borderId="0" xfId="0" applyFont="1"/>
    <xf numFmtId="165" fontId="17" fillId="0" borderId="0" xfId="1" applyNumberFormat="1" applyFont="1"/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7" xfId="0" applyFont="1" applyBorder="1" applyAlignment="1">
      <alignment horizontal="left" wrapText="1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5" borderId="12" xfId="3" applyFont="1" applyFill="1" applyBorder="1" applyAlignment="1">
      <alignment vertical="center"/>
    </xf>
    <xf numFmtId="0" fontId="9" fillId="5" borderId="13" xfId="3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165" fontId="9" fillId="5" borderId="14" xfId="1" applyNumberFormat="1" applyFont="1" applyFill="1" applyBorder="1" applyAlignment="1">
      <alignment vertical="center"/>
    </xf>
    <xf numFmtId="164" fontId="9" fillId="5" borderId="14" xfId="1" applyFont="1" applyFill="1" applyBorder="1" applyAlignment="1">
      <alignment vertical="center" wrapText="1"/>
    </xf>
    <xf numFmtId="164" fontId="9" fillId="5" borderId="15" xfId="1" applyFont="1" applyFill="1" applyBorder="1" applyAlignment="1">
      <alignment vertical="center"/>
    </xf>
    <xf numFmtId="164" fontId="9" fillId="5" borderId="16" xfId="1" applyFont="1" applyFill="1" applyBorder="1" applyAlignment="1">
      <alignment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168" fontId="14" fillId="0" borderId="40" xfId="0" applyNumberFormat="1" applyFont="1" applyBorder="1" applyAlignment="1">
      <alignment horizontal="center" vertical="center"/>
    </xf>
    <xf numFmtId="168" fontId="14" fillId="0" borderId="33" xfId="0" applyNumberFormat="1" applyFont="1" applyBorder="1" applyAlignment="1">
      <alignment horizontal="center" vertical="center"/>
    </xf>
    <xf numFmtId="168" fontId="14" fillId="0" borderId="46" xfId="0" applyNumberFormat="1" applyFont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 wrapText="1"/>
    </xf>
    <xf numFmtId="49" fontId="15" fillId="6" borderId="15" xfId="4" applyNumberFormat="1" applyFont="1" applyFill="1" applyBorder="1" applyAlignment="1">
      <alignment horizontal="center" vertical="center"/>
    </xf>
    <xf numFmtId="49" fontId="15" fillId="6" borderId="3" xfId="4" applyNumberFormat="1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 wrapText="1"/>
    </xf>
    <xf numFmtId="49" fontId="15" fillId="6" borderId="29" xfId="4" applyNumberFormat="1" applyFont="1" applyFill="1" applyBorder="1" applyAlignment="1">
      <alignment horizontal="center" vertical="center"/>
    </xf>
    <xf numFmtId="49" fontId="15" fillId="6" borderId="40" xfId="4" applyNumberFormat="1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</cellXfs>
  <cellStyles count="5">
    <cellStyle name="Comma" xfId="1" builtinId="3"/>
    <cellStyle name="Explanatory Text" xfId="2" builtinId="53"/>
    <cellStyle name="Normal" xfId="0" builtinId="0"/>
    <cellStyle name="Normal 2" xfId="4" xr:uid="{2F0EE973-A2A2-44EE-8C93-74A5BAF042AE}"/>
    <cellStyle name="Style 1" xfId="3" xr:uid="{AB203A7C-519F-4C77-BC85-85DEDF7789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80</xdr:row>
      <xdr:rowOff>19050</xdr:rowOff>
    </xdr:from>
    <xdr:to>
      <xdr:col>6</xdr:col>
      <xdr:colOff>1295400</xdr:colOff>
      <xdr:row>80</xdr:row>
      <xdr:rowOff>2943225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92328-2952-43EE-9072-E4CDAA6F7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068550"/>
          <a:ext cx="9344025" cy="2924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May%202025\Monthly%2031-May-2025\Final\HeliosMF_Monthtly%20Portfolio_31st%20May%20%202025___.xls" TargetMode="External"/><Relationship Id="rId1" Type="http://schemas.openxmlformats.org/officeDocument/2006/relationships/externalLinkPath" Target="HeliosMF_Monthtly%20Portfolio_31st%20Ma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69CF-A49A-488A-85D4-028D13B7C21E}">
  <sheetPr codeName="Sheet13"/>
  <dimension ref="A1:IT83"/>
  <sheetViews>
    <sheetView showGridLines="0" tabSelected="1" zoomScale="90" zoomScaleNormal="90" workbookViewId="0">
      <pane ySplit="6" topLeftCell="A43" activePane="bottomLeft" state="frozen"/>
      <selection pane="bottomLeft" activeCell="G49" sqref="G49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75" t="s">
        <v>0</v>
      </c>
      <c r="D2" s="76"/>
      <c r="E2" s="76"/>
      <c r="F2" s="76"/>
      <c r="G2" s="76"/>
      <c r="H2" s="76"/>
      <c r="I2" s="76"/>
      <c r="J2" s="77"/>
    </row>
    <row r="3" spans="1:54" x14ac:dyDescent="0.35">
      <c r="C3" s="7" t="s">
        <v>1</v>
      </c>
      <c r="D3" s="66" t="s">
        <v>2</v>
      </c>
      <c r="E3" s="67"/>
      <c r="F3" s="67"/>
      <c r="G3" s="67"/>
      <c r="H3" s="67"/>
      <c r="I3" s="67"/>
      <c r="J3" s="68"/>
    </row>
    <row r="4" spans="1:54" ht="14" thickBot="1" x14ac:dyDescent="0.4">
      <c r="C4" s="8" t="s">
        <v>3</v>
      </c>
      <c r="D4" s="69">
        <v>45808</v>
      </c>
      <c r="E4" s="70"/>
      <c r="F4" s="70"/>
      <c r="G4" s="70"/>
      <c r="H4" s="70"/>
      <c r="I4" s="70"/>
      <c r="J4" s="71"/>
    </row>
    <row r="5" spans="1:54" ht="14" thickBot="1" x14ac:dyDescent="0.4">
      <c r="C5" s="9"/>
    </row>
    <row r="6" spans="1:54" ht="26" x14ac:dyDescent="0.35">
      <c r="C6" s="78" t="s">
        <v>4</v>
      </c>
      <c r="D6" s="79" t="s">
        <v>5</v>
      </c>
      <c r="E6" s="80" t="s">
        <v>6</v>
      </c>
      <c r="F6" s="81" t="s">
        <v>7</v>
      </c>
      <c r="G6" s="82" t="s">
        <v>8</v>
      </c>
      <c r="H6" s="82" t="s">
        <v>9</v>
      </c>
      <c r="I6" s="83" t="s">
        <v>10</v>
      </c>
      <c r="J6" s="84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8"/>
    </row>
    <row r="9" spans="1:54" x14ac:dyDescent="0.35">
      <c r="A9" s="29"/>
      <c r="B9" s="30"/>
      <c r="C9" s="31" t="s">
        <v>14</v>
      </c>
      <c r="D9" s="22"/>
      <c r="E9" s="23"/>
      <c r="F9" s="24"/>
      <c r="G9" s="25"/>
      <c r="H9" s="25"/>
      <c r="I9" s="26"/>
      <c r="J9" s="27"/>
      <c r="K9" s="28"/>
    </row>
    <row r="10" spans="1:54" x14ac:dyDescent="0.35">
      <c r="C10" s="13" t="s">
        <v>15</v>
      </c>
      <c r="D10" s="22" t="s">
        <v>16</v>
      </c>
      <c r="E10" s="23" t="s">
        <v>17</v>
      </c>
      <c r="F10" s="24">
        <v>197645</v>
      </c>
      <c r="G10" s="25">
        <v>3844</v>
      </c>
      <c r="H10" s="25">
        <v>22.26</v>
      </c>
      <c r="I10" s="26"/>
      <c r="J10" s="27"/>
      <c r="K10" s="28"/>
    </row>
    <row r="11" spans="1:54" x14ac:dyDescent="0.35">
      <c r="B11" s="1" t="s">
        <v>18</v>
      </c>
      <c r="C11" s="13" t="s">
        <v>19</v>
      </c>
      <c r="D11" s="22" t="s">
        <v>20</v>
      </c>
      <c r="E11" s="23" t="s">
        <v>17</v>
      </c>
      <c r="F11" s="24">
        <v>165750</v>
      </c>
      <c r="G11" s="25">
        <v>2396.41</v>
      </c>
      <c r="H11" s="25">
        <v>13.88</v>
      </c>
      <c r="I11" s="26"/>
      <c r="J11" s="27"/>
      <c r="K11" s="28"/>
    </row>
    <row r="12" spans="1:54" x14ac:dyDescent="0.35">
      <c r="B12" s="1" t="s">
        <v>21</v>
      </c>
      <c r="C12" s="13" t="s">
        <v>22</v>
      </c>
      <c r="D12" s="22" t="s">
        <v>23</v>
      </c>
      <c r="E12" s="23" t="s">
        <v>24</v>
      </c>
      <c r="F12" s="24">
        <v>13316</v>
      </c>
      <c r="G12" s="25">
        <v>1222.48</v>
      </c>
      <c r="H12" s="25">
        <v>7.08</v>
      </c>
      <c r="I12" s="26"/>
      <c r="J12" s="27"/>
      <c r="K12" s="28"/>
    </row>
    <row r="13" spans="1:54" x14ac:dyDescent="0.35">
      <c r="B13" s="1" t="s">
        <v>25</v>
      </c>
      <c r="C13" s="13" t="s">
        <v>26</v>
      </c>
      <c r="D13" s="22" t="s">
        <v>27</v>
      </c>
      <c r="E13" s="23" t="s">
        <v>28</v>
      </c>
      <c r="F13" s="24">
        <v>18917</v>
      </c>
      <c r="G13" s="25">
        <v>904.8</v>
      </c>
      <c r="H13" s="25">
        <v>5.24</v>
      </c>
      <c r="I13" s="26"/>
      <c r="J13" s="27"/>
      <c r="K13" s="28"/>
    </row>
    <row r="14" spans="1:54" x14ac:dyDescent="0.35">
      <c r="B14" s="1" t="s">
        <v>29</v>
      </c>
      <c r="C14" s="13" t="s">
        <v>30</v>
      </c>
      <c r="D14" s="22" t="s">
        <v>31</v>
      </c>
      <c r="E14" s="23" t="s">
        <v>24</v>
      </c>
      <c r="F14" s="24">
        <v>81316</v>
      </c>
      <c r="G14" s="25">
        <v>849.67</v>
      </c>
      <c r="H14" s="25">
        <v>4.92</v>
      </c>
      <c r="I14" s="26"/>
      <c r="J14" s="27"/>
      <c r="K14" s="28"/>
    </row>
    <row r="15" spans="1:54" x14ac:dyDescent="0.35">
      <c r="B15" s="1" t="s">
        <v>32</v>
      </c>
      <c r="C15" s="13" t="s">
        <v>33</v>
      </c>
      <c r="D15" s="22" t="s">
        <v>34</v>
      </c>
      <c r="E15" s="23" t="s">
        <v>35</v>
      </c>
      <c r="F15" s="24">
        <v>43297</v>
      </c>
      <c r="G15" s="25">
        <v>784.63</v>
      </c>
      <c r="H15" s="25">
        <v>4.54</v>
      </c>
      <c r="I15" s="26"/>
      <c r="J15" s="27"/>
      <c r="K15" s="28"/>
    </row>
    <row r="16" spans="1:54" x14ac:dyDescent="0.35">
      <c r="B16" s="1" t="s">
        <v>36</v>
      </c>
      <c r="C16" s="13" t="s">
        <v>37</v>
      </c>
      <c r="D16" s="22" t="s">
        <v>38</v>
      </c>
      <c r="E16" s="23" t="s">
        <v>24</v>
      </c>
      <c r="F16" s="24">
        <v>173545</v>
      </c>
      <c r="G16" s="25">
        <v>698.17</v>
      </c>
      <c r="H16" s="25">
        <v>4.04</v>
      </c>
      <c r="I16" s="26"/>
      <c r="J16" s="27"/>
      <c r="K16" s="28"/>
    </row>
    <row r="17" spans="2:11" x14ac:dyDescent="0.35">
      <c r="B17" s="1" t="s">
        <v>39</v>
      </c>
      <c r="C17" s="13" t="s">
        <v>40</v>
      </c>
      <c r="D17" s="22" t="s">
        <v>41</v>
      </c>
      <c r="E17" s="23" t="s">
        <v>42</v>
      </c>
      <c r="F17" s="24">
        <v>77391</v>
      </c>
      <c r="G17" s="25">
        <v>689.13</v>
      </c>
      <c r="H17" s="25">
        <v>3.99</v>
      </c>
      <c r="I17" s="26"/>
      <c r="J17" s="27"/>
      <c r="K17" s="28"/>
    </row>
    <row r="18" spans="2:11" x14ac:dyDescent="0.35">
      <c r="B18" s="1" t="s">
        <v>43</v>
      </c>
      <c r="C18" s="13" t="s">
        <v>44</v>
      </c>
      <c r="D18" s="22" t="s">
        <v>45</v>
      </c>
      <c r="E18" s="23" t="s">
        <v>28</v>
      </c>
      <c r="F18" s="24">
        <v>9645</v>
      </c>
      <c r="G18" s="25">
        <v>636.76</v>
      </c>
      <c r="H18" s="25">
        <v>3.69</v>
      </c>
      <c r="I18" s="26"/>
      <c r="J18" s="27"/>
      <c r="K18" s="28"/>
    </row>
    <row r="19" spans="2:11" x14ac:dyDescent="0.35">
      <c r="B19" s="1" t="s">
        <v>46</v>
      </c>
      <c r="C19" s="13" t="s">
        <v>47</v>
      </c>
      <c r="D19" s="22" t="s">
        <v>48</v>
      </c>
      <c r="E19" s="23" t="s">
        <v>17</v>
      </c>
      <c r="F19" s="24">
        <v>77149</v>
      </c>
      <c r="G19" s="25">
        <v>626.67999999999995</v>
      </c>
      <c r="H19" s="25">
        <v>3.63</v>
      </c>
      <c r="I19" s="26"/>
      <c r="J19" s="27"/>
      <c r="K19" s="28"/>
    </row>
    <row r="20" spans="2:11" x14ac:dyDescent="0.35">
      <c r="B20" s="1" t="s">
        <v>49</v>
      </c>
      <c r="C20" s="13" t="s">
        <v>50</v>
      </c>
      <c r="D20" s="22" t="s">
        <v>51</v>
      </c>
      <c r="E20" s="23" t="s">
        <v>17</v>
      </c>
      <c r="F20" s="24">
        <v>30191</v>
      </c>
      <c r="G20" s="25">
        <v>626.37</v>
      </c>
      <c r="H20" s="25">
        <v>3.63</v>
      </c>
      <c r="I20" s="26"/>
      <c r="J20" s="27"/>
      <c r="K20" s="28"/>
    </row>
    <row r="21" spans="2:11" x14ac:dyDescent="0.35">
      <c r="B21" s="1" t="s">
        <v>52</v>
      </c>
      <c r="C21" s="13" t="s">
        <v>53</v>
      </c>
      <c r="D21" s="22" t="s">
        <v>54</v>
      </c>
      <c r="E21" s="23" t="s">
        <v>35</v>
      </c>
      <c r="F21" s="24">
        <v>62425</v>
      </c>
      <c r="G21" s="25">
        <v>484.95</v>
      </c>
      <c r="H21" s="25">
        <v>2.81</v>
      </c>
      <c r="I21" s="26"/>
      <c r="J21" s="27"/>
      <c r="K21" s="28"/>
    </row>
    <row r="22" spans="2:11" x14ac:dyDescent="0.35">
      <c r="B22" s="1" t="s">
        <v>55</v>
      </c>
      <c r="C22" s="13" t="s">
        <v>56</v>
      </c>
      <c r="D22" s="22" t="s">
        <v>57</v>
      </c>
      <c r="E22" s="23" t="s">
        <v>24</v>
      </c>
      <c r="F22" s="24">
        <v>75382</v>
      </c>
      <c r="G22" s="25">
        <v>481.95</v>
      </c>
      <c r="H22" s="25">
        <v>2.79</v>
      </c>
      <c r="I22" s="26"/>
      <c r="J22" s="27"/>
      <c r="K22" s="28"/>
    </row>
    <row r="23" spans="2:11" x14ac:dyDescent="0.35">
      <c r="B23" s="1" t="s">
        <v>58</v>
      </c>
      <c r="C23" s="13" t="s">
        <v>59</v>
      </c>
      <c r="D23" s="22" t="s">
        <v>60</v>
      </c>
      <c r="E23" s="23" t="s">
        <v>28</v>
      </c>
      <c r="F23" s="24">
        <v>54297</v>
      </c>
      <c r="G23" s="25">
        <v>439.75</v>
      </c>
      <c r="H23" s="25">
        <v>2.5499999999999998</v>
      </c>
      <c r="I23" s="26"/>
      <c r="J23" s="27"/>
      <c r="K23" s="28"/>
    </row>
    <row r="24" spans="2:11" x14ac:dyDescent="0.35">
      <c r="B24" s="1" t="s">
        <v>61</v>
      </c>
      <c r="C24" s="13" t="s">
        <v>62</v>
      </c>
      <c r="D24" s="22" t="s">
        <v>63</v>
      </c>
      <c r="E24" s="23" t="s">
        <v>24</v>
      </c>
      <c r="F24" s="24">
        <v>26228</v>
      </c>
      <c r="G24" s="25">
        <v>419.91</v>
      </c>
      <c r="H24" s="25">
        <v>2.4300000000000002</v>
      </c>
      <c r="I24" s="26"/>
      <c r="J24" s="27"/>
      <c r="K24" s="28"/>
    </row>
    <row r="25" spans="2:11" x14ac:dyDescent="0.35">
      <c r="B25" s="1" t="s">
        <v>64</v>
      </c>
      <c r="C25" s="13" t="s">
        <v>65</v>
      </c>
      <c r="D25" s="22" t="s">
        <v>66</v>
      </c>
      <c r="E25" s="23" t="s">
        <v>35</v>
      </c>
      <c r="F25" s="24">
        <v>20923</v>
      </c>
      <c r="G25" s="25">
        <v>392.39</v>
      </c>
      <c r="H25" s="25">
        <v>2.27</v>
      </c>
      <c r="I25" s="26"/>
      <c r="J25" s="27"/>
      <c r="K25" s="28"/>
    </row>
    <row r="26" spans="2:11" x14ac:dyDescent="0.35">
      <c r="B26" s="1" t="s">
        <v>67</v>
      </c>
      <c r="C26" s="13" t="s">
        <v>68</v>
      </c>
      <c r="D26" s="22" t="s">
        <v>69</v>
      </c>
      <c r="E26" s="23" t="s">
        <v>24</v>
      </c>
      <c r="F26" s="24">
        <v>15900</v>
      </c>
      <c r="G26" s="25">
        <v>352.25</v>
      </c>
      <c r="H26" s="25">
        <v>2.04</v>
      </c>
      <c r="I26" s="26"/>
      <c r="J26" s="27"/>
      <c r="K26" s="28"/>
    </row>
    <row r="27" spans="2:11" x14ac:dyDescent="0.35">
      <c r="B27" s="1" t="s">
        <v>70</v>
      </c>
      <c r="C27" s="13" t="s">
        <v>71</v>
      </c>
      <c r="D27" s="22" t="s">
        <v>72</v>
      </c>
      <c r="E27" s="23" t="s">
        <v>17</v>
      </c>
      <c r="F27" s="24">
        <v>27233</v>
      </c>
      <c r="G27" s="25">
        <v>324.67</v>
      </c>
      <c r="H27" s="25">
        <v>1.88</v>
      </c>
      <c r="I27" s="26"/>
      <c r="J27" s="27"/>
      <c r="K27" s="28"/>
    </row>
    <row r="28" spans="2:11" x14ac:dyDescent="0.35">
      <c r="B28" s="1" t="s">
        <v>73</v>
      </c>
      <c r="C28" s="13" t="s">
        <v>74</v>
      </c>
      <c r="D28" s="22" t="s">
        <v>75</v>
      </c>
      <c r="E28" s="23" t="s">
        <v>28</v>
      </c>
      <c r="F28" s="24">
        <v>32016</v>
      </c>
      <c r="G28" s="25">
        <v>319.33999999999997</v>
      </c>
      <c r="H28" s="25">
        <v>1.85</v>
      </c>
      <c r="I28" s="26"/>
      <c r="J28" s="27"/>
      <c r="K28" s="28"/>
    </row>
    <row r="29" spans="2:11" x14ac:dyDescent="0.35">
      <c r="B29" s="1" t="s">
        <v>76</v>
      </c>
      <c r="C29" s="13" t="s">
        <v>77</v>
      </c>
      <c r="D29" s="22" t="s">
        <v>78</v>
      </c>
      <c r="E29" s="23" t="s">
        <v>42</v>
      </c>
      <c r="F29" s="24">
        <v>14583</v>
      </c>
      <c r="G29" s="25">
        <v>256.89</v>
      </c>
      <c r="H29" s="25">
        <v>1.49</v>
      </c>
      <c r="I29" s="26"/>
      <c r="J29" s="27"/>
      <c r="K29" s="28"/>
    </row>
    <row r="30" spans="2:11" x14ac:dyDescent="0.35">
      <c r="B30" s="1" t="s">
        <v>79</v>
      </c>
      <c r="C30" s="13" t="s">
        <v>80</v>
      </c>
      <c r="D30" s="22" t="s">
        <v>81</v>
      </c>
      <c r="E30" s="23" t="s">
        <v>24</v>
      </c>
      <c r="F30" s="24">
        <v>93000</v>
      </c>
      <c r="G30" s="25">
        <v>221.95</v>
      </c>
      <c r="H30" s="25">
        <v>1.29</v>
      </c>
      <c r="I30" s="26"/>
      <c r="J30" s="27"/>
      <c r="K30" s="28"/>
    </row>
    <row r="31" spans="2:11" x14ac:dyDescent="0.35">
      <c r="B31" s="1" t="s">
        <v>82</v>
      </c>
      <c r="C31" s="13" t="s">
        <v>83</v>
      </c>
      <c r="D31" s="22" t="s">
        <v>84</v>
      </c>
      <c r="E31" s="23" t="s">
        <v>24</v>
      </c>
      <c r="F31" s="24">
        <v>11284</v>
      </c>
      <c r="G31" s="25">
        <v>208.01</v>
      </c>
      <c r="H31" s="25">
        <v>1.2</v>
      </c>
      <c r="I31" s="26"/>
      <c r="J31" s="27"/>
      <c r="K31" s="28"/>
    </row>
    <row r="32" spans="2:11" x14ac:dyDescent="0.35">
      <c r="B32" s="1" t="s">
        <v>85</v>
      </c>
      <c r="C32" s="21" t="s">
        <v>86</v>
      </c>
      <c r="D32" s="22"/>
      <c r="E32" s="23"/>
      <c r="F32" s="24"/>
      <c r="G32" s="32">
        <v>17181.16</v>
      </c>
      <c r="H32" s="32">
        <v>99.5</v>
      </c>
      <c r="I32" s="26"/>
      <c r="J32" s="27"/>
      <c r="K32" s="28"/>
    </row>
    <row r="33" spans="2:54" x14ac:dyDescent="0.35">
      <c r="B33" s="1"/>
      <c r="C33" s="13"/>
      <c r="D33" s="22"/>
      <c r="E33" s="23"/>
      <c r="F33" s="24"/>
      <c r="G33" s="25"/>
      <c r="H33" s="25"/>
      <c r="I33" s="26"/>
      <c r="J33" s="27"/>
      <c r="K33" s="28"/>
    </row>
    <row r="34" spans="2:54" x14ac:dyDescent="0.35">
      <c r="B34" s="1"/>
      <c r="C34" s="21" t="s">
        <v>87</v>
      </c>
      <c r="D34" s="22"/>
      <c r="E34" s="23"/>
      <c r="F34" s="24"/>
      <c r="G34" s="25"/>
      <c r="H34" s="25"/>
      <c r="I34" s="26"/>
      <c r="J34" s="27"/>
      <c r="K34" s="28"/>
    </row>
    <row r="35" spans="2:54" x14ac:dyDescent="0.35">
      <c r="B35" s="1"/>
      <c r="C35" s="31" t="s">
        <v>88</v>
      </c>
      <c r="D35" s="22"/>
      <c r="E35" s="23"/>
      <c r="F35" s="24"/>
      <c r="G35" s="25"/>
      <c r="H35" s="25"/>
      <c r="I35" s="26"/>
      <c r="J35" s="27"/>
      <c r="K35" s="28"/>
    </row>
    <row r="36" spans="2:54" x14ac:dyDescent="0.35">
      <c r="B36" s="1"/>
      <c r="C36" s="13" t="s">
        <v>89</v>
      </c>
      <c r="D36" s="22"/>
      <c r="E36" s="23"/>
      <c r="F36" s="24"/>
      <c r="G36" s="25">
        <v>101.98</v>
      </c>
      <c r="H36" s="25">
        <v>0.59</v>
      </c>
      <c r="I36" s="26">
        <v>5.8267379999999998</v>
      </c>
      <c r="J36" s="27"/>
      <c r="K36" s="28"/>
    </row>
    <row r="37" spans="2:54" x14ac:dyDescent="0.35">
      <c r="B37" s="1" t="s">
        <v>90</v>
      </c>
      <c r="C37" s="21" t="s">
        <v>86</v>
      </c>
      <c r="D37" s="22"/>
      <c r="E37" s="23"/>
      <c r="F37" s="24"/>
      <c r="G37" s="32">
        <v>101.98</v>
      </c>
      <c r="H37" s="32">
        <v>0.59</v>
      </c>
      <c r="I37" s="26"/>
      <c r="J37" s="27"/>
      <c r="K37" s="28"/>
    </row>
    <row r="38" spans="2:54" x14ac:dyDescent="0.35">
      <c r="B38" s="1"/>
      <c r="C38" s="13"/>
      <c r="D38" s="22"/>
      <c r="E38" s="23"/>
      <c r="F38" s="24"/>
      <c r="G38" s="25"/>
      <c r="H38" s="25"/>
      <c r="I38" s="26"/>
      <c r="J38" s="27"/>
      <c r="K38" s="28"/>
    </row>
    <row r="39" spans="2:54" x14ac:dyDescent="0.35">
      <c r="B39" s="1"/>
      <c r="C39" s="21" t="s">
        <v>91</v>
      </c>
      <c r="D39" s="22"/>
      <c r="E39" s="23"/>
      <c r="F39" s="24"/>
      <c r="G39" s="25"/>
      <c r="H39" s="25"/>
      <c r="I39" s="26"/>
      <c r="J39" s="27"/>
      <c r="K39" s="28"/>
    </row>
    <row r="40" spans="2:54" x14ac:dyDescent="0.35">
      <c r="B40" s="1"/>
      <c r="C40" s="13" t="s">
        <v>92</v>
      </c>
      <c r="D40" s="22"/>
      <c r="E40" s="23"/>
      <c r="F40" s="24"/>
      <c r="G40" s="25">
        <v>-15.02</v>
      </c>
      <c r="H40" s="25">
        <v>-0.09</v>
      </c>
      <c r="I40" s="26"/>
      <c r="J40" s="27"/>
      <c r="K40" s="28"/>
    </row>
    <row r="41" spans="2:54" x14ac:dyDescent="0.35">
      <c r="B41" s="1"/>
      <c r="C41" s="21" t="s">
        <v>86</v>
      </c>
      <c r="D41" s="22"/>
      <c r="E41" s="23"/>
      <c r="F41" s="24"/>
      <c r="G41" s="32">
        <v>-15.02</v>
      </c>
      <c r="H41" s="32">
        <v>-0.09</v>
      </c>
      <c r="I41" s="26"/>
      <c r="J41" s="27"/>
      <c r="K41" s="28"/>
    </row>
    <row r="42" spans="2:54" x14ac:dyDescent="0.35">
      <c r="B42" s="1"/>
      <c r="C42" s="13"/>
      <c r="D42" s="22"/>
      <c r="E42" s="23"/>
      <c r="F42" s="24"/>
      <c r="G42" s="25"/>
      <c r="H42" s="25"/>
      <c r="I42" s="26"/>
      <c r="J42" s="27"/>
      <c r="K42" s="28"/>
    </row>
    <row r="43" spans="2:54" ht="14" thickBot="1" x14ac:dyDescent="0.4">
      <c r="B43" s="1"/>
      <c r="C43" s="33" t="s">
        <v>93</v>
      </c>
      <c r="D43" s="34"/>
      <c r="E43" s="35"/>
      <c r="F43" s="36"/>
      <c r="G43" s="37">
        <v>17268.12</v>
      </c>
      <c r="H43" s="37">
        <f>SUMIFS(H:H,C:C,"Total")</f>
        <v>100</v>
      </c>
      <c r="I43" s="38"/>
      <c r="J43" s="39"/>
      <c r="K43" s="28"/>
    </row>
    <row r="44" spans="2:54" ht="28.5" customHeight="1" x14ac:dyDescent="0.35">
      <c r="C44" s="72" t="s">
        <v>94</v>
      </c>
      <c r="D44" s="72"/>
      <c r="E44" s="72"/>
      <c r="F44" s="72"/>
      <c r="G44" s="72"/>
      <c r="H44" s="72"/>
      <c r="I44" s="72"/>
      <c r="J44" s="72"/>
      <c r="L44" s="2"/>
      <c r="AH44" s="6"/>
      <c r="AI44" s="2"/>
      <c r="AU44" s="6"/>
      <c r="AV44" s="2"/>
      <c r="AW44" s="6"/>
      <c r="AX44" s="2"/>
      <c r="BA44" s="6"/>
      <c r="BB44" s="2"/>
    </row>
    <row r="45" spans="2:54" x14ac:dyDescent="0.35">
      <c r="C45" s="40" t="s">
        <v>95</v>
      </c>
      <c r="L45" s="2"/>
      <c r="AH45" s="6"/>
      <c r="AI45" s="2"/>
      <c r="AU45" s="6"/>
      <c r="AV45" s="2"/>
      <c r="AW45" s="6"/>
      <c r="AX45" s="2"/>
      <c r="BA45" s="6"/>
      <c r="BB45" s="2"/>
    </row>
    <row r="46" spans="2:54" ht="37.5" customHeight="1" x14ac:dyDescent="0.35">
      <c r="C46" s="73" t="s">
        <v>96</v>
      </c>
      <c r="D46" s="73"/>
      <c r="E46" s="73"/>
      <c r="F46" s="73"/>
      <c r="G46" s="73"/>
      <c r="H46" s="73"/>
      <c r="I46" s="73"/>
      <c r="J46" s="73"/>
      <c r="L46" s="2"/>
      <c r="AH46" s="6"/>
      <c r="AI46" s="2"/>
      <c r="AU46" s="6"/>
      <c r="AV46" s="2"/>
      <c r="AW46" s="6"/>
      <c r="AX46" s="2"/>
      <c r="BA46" s="6"/>
      <c r="BB46" s="2"/>
    </row>
    <row r="47" spans="2:54" x14ac:dyDescent="0.35">
      <c r="L47" s="2"/>
      <c r="AH47" s="6"/>
      <c r="AI47" s="2"/>
      <c r="AU47" s="6"/>
      <c r="AV47" s="2"/>
      <c r="AW47" s="6"/>
      <c r="AX47" s="2"/>
      <c r="BA47" s="6"/>
      <c r="BB47" s="2"/>
    </row>
    <row r="48" spans="2:54" ht="16.5" thickBot="1" x14ac:dyDescent="0.4">
      <c r="C48" s="41" t="s">
        <v>97</v>
      </c>
      <c r="D48" s="42"/>
      <c r="E48" s="42"/>
      <c r="L48" s="2"/>
      <c r="AH48" s="6"/>
      <c r="AI48" s="2"/>
      <c r="AU48" s="6"/>
      <c r="AV48" s="2"/>
      <c r="AW48" s="6"/>
      <c r="AX48" s="2"/>
      <c r="BA48" s="6"/>
      <c r="BB48" s="2"/>
    </row>
    <row r="49" spans="3:54" ht="26" x14ac:dyDescent="0.35">
      <c r="C49" s="85" t="s">
        <v>98</v>
      </c>
      <c r="D49" s="86" t="s">
        <v>99</v>
      </c>
      <c r="E49" s="87" t="s">
        <v>100</v>
      </c>
      <c r="L49" s="2"/>
      <c r="AH49" s="6"/>
      <c r="AI49" s="2"/>
      <c r="AU49" s="6"/>
      <c r="AV49" s="2"/>
      <c r="AW49" s="6"/>
      <c r="AX49" s="2"/>
      <c r="BA49" s="6"/>
      <c r="BB49" s="2"/>
    </row>
    <row r="50" spans="3:54" x14ac:dyDescent="0.35">
      <c r="C50" s="43" t="s">
        <v>101</v>
      </c>
      <c r="D50" s="44">
        <v>10.87</v>
      </c>
      <c r="E50" s="88">
        <v>11.15</v>
      </c>
      <c r="L50" s="2"/>
      <c r="AH50" s="6"/>
      <c r="AI50" s="2"/>
      <c r="AU50" s="6"/>
      <c r="AV50" s="2"/>
      <c r="AW50" s="6"/>
      <c r="AX50" s="2"/>
      <c r="BA50" s="6"/>
      <c r="BB50" s="2"/>
    </row>
    <row r="51" spans="3:54" x14ac:dyDescent="0.35">
      <c r="C51" s="43" t="s">
        <v>102</v>
      </c>
      <c r="D51" s="44">
        <v>10.87</v>
      </c>
      <c r="E51" s="88">
        <v>11.15</v>
      </c>
      <c r="L51" s="2"/>
      <c r="AH51" s="6"/>
      <c r="AI51" s="2"/>
      <c r="AU51" s="6"/>
      <c r="AV51" s="2"/>
      <c r="AW51" s="6"/>
      <c r="AX51" s="2"/>
      <c r="BA51" s="6"/>
      <c r="BB51" s="2"/>
    </row>
    <row r="52" spans="3:54" x14ac:dyDescent="0.35">
      <c r="C52" s="43" t="s">
        <v>103</v>
      </c>
      <c r="D52" s="44">
        <v>11.02</v>
      </c>
      <c r="E52" s="88">
        <v>11.32</v>
      </c>
      <c r="L52" s="2"/>
      <c r="AH52" s="6"/>
      <c r="AI52" s="2"/>
      <c r="AU52" s="6"/>
      <c r="AV52" s="2"/>
      <c r="AW52" s="6"/>
      <c r="AX52" s="2"/>
      <c r="BA52" s="6"/>
      <c r="BB52" s="2"/>
    </row>
    <row r="53" spans="3:54" ht="14" thickBot="1" x14ac:dyDescent="0.4">
      <c r="C53" s="45" t="s">
        <v>104</v>
      </c>
      <c r="D53" s="89">
        <v>11.02</v>
      </c>
      <c r="E53" s="90">
        <v>11.32</v>
      </c>
      <c r="L53" s="2"/>
      <c r="AH53" s="6"/>
      <c r="AI53" s="2"/>
      <c r="AU53" s="6"/>
      <c r="AV53" s="2"/>
      <c r="AW53" s="6"/>
      <c r="AX53" s="2"/>
      <c r="BA53" s="6"/>
      <c r="BB53" s="2"/>
    </row>
    <row r="54" spans="3:54" x14ac:dyDescent="0.35">
      <c r="L54" s="2"/>
      <c r="AH54" s="6"/>
      <c r="AI54" s="2"/>
      <c r="AU54" s="6"/>
      <c r="AV54" s="2"/>
      <c r="AW54" s="6"/>
      <c r="AX54" s="2"/>
      <c r="BA54" s="6"/>
      <c r="BB54" s="2"/>
    </row>
    <row r="55" spans="3:54" ht="14.25" customHeight="1" thickBot="1" x14ac:dyDescent="0.4">
      <c r="C55" s="74" t="s">
        <v>105</v>
      </c>
      <c r="D55" s="74"/>
      <c r="E55" s="74"/>
      <c r="L55" s="2"/>
      <c r="AH55" s="6"/>
      <c r="AI55" s="2"/>
      <c r="AU55" s="6"/>
      <c r="AV55" s="2"/>
      <c r="AW55" s="6"/>
      <c r="AX55" s="2"/>
      <c r="BA55" s="6"/>
      <c r="BB55" s="2"/>
    </row>
    <row r="56" spans="3:54" x14ac:dyDescent="0.35">
      <c r="C56" s="91" t="s">
        <v>98</v>
      </c>
      <c r="D56" s="92" t="s">
        <v>106</v>
      </c>
      <c r="E56" s="93"/>
      <c r="L56" s="2"/>
      <c r="AH56" s="6"/>
      <c r="AI56" s="2"/>
      <c r="AU56" s="6"/>
      <c r="AV56" s="2"/>
      <c r="AW56" s="6"/>
      <c r="AX56" s="2"/>
      <c r="BA56" s="6"/>
      <c r="BB56" s="2"/>
    </row>
    <row r="57" spans="3:54" x14ac:dyDescent="0.35">
      <c r="C57" s="94"/>
      <c r="D57" s="95" t="s">
        <v>107</v>
      </c>
      <c r="E57" s="96" t="s">
        <v>108</v>
      </c>
      <c r="L57" s="2"/>
      <c r="AH57" s="6"/>
      <c r="AI57" s="2"/>
      <c r="AU57" s="6"/>
      <c r="AV57" s="2"/>
      <c r="AW57" s="6"/>
      <c r="AX57" s="2"/>
      <c r="BA57" s="6"/>
      <c r="BB57" s="2"/>
    </row>
    <row r="58" spans="3:54" x14ac:dyDescent="0.35">
      <c r="C58" s="43" t="s">
        <v>102</v>
      </c>
      <c r="D58" s="46" t="s">
        <v>109</v>
      </c>
      <c r="E58" s="97" t="s">
        <v>109</v>
      </c>
      <c r="L58" s="2"/>
      <c r="AH58" s="6"/>
      <c r="AI58" s="2"/>
      <c r="AU58" s="6"/>
      <c r="AV58" s="2"/>
      <c r="AW58" s="6"/>
      <c r="AX58" s="2"/>
      <c r="BA58" s="6"/>
      <c r="BB58" s="2"/>
    </row>
    <row r="59" spans="3:54" ht="14" thickBot="1" x14ac:dyDescent="0.4">
      <c r="C59" s="45" t="s">
        <v>104</v>
      </c>
      <c r="D59" s="98" t="s">
        <v>109</v>
      </c>
      <c r="E59" s="99" t="s">
        <v>109</v>
      </c>
      <c r="L59" s="2"/>
      <c r="AH59" s="6"/>
      <c r="AI59" s="2"/>
      <c r="AU59" s="6"/>
      <c r="AV59" s="2"/>
      <c r="AW59" s="6"/>
      <c r="AX59" s="2"/>
      <c r="BA59" s="6"/>
      <c r="BB59" s="2"/>
    </row>
    <row r="60" spans="3:54" ht="14" thickBot="1" x14ac:dyDescent="0.4">
      <c r="C60" s="40"/>
      <c r="D60" s="40"/>
      <c r="E60" s="40"/>
      <c r="L60" s="2"/>
      <c r="AH60" s="6"/>
      <c r="AI60" s="2"/>
      <c r="AU60" s="6"/>
      <c r="AV60" s="2"/>
      <c r="AW60" s="6"/>
      <c r="AX60" s="2"/>
      <c r="BA60" s="6"/>
      <c r="BB60" s="2"/>
    </row>
    <row r="61" spans="3:54" ht="14" thickBot="1" x14ac:dyDescent="0.4">
      <c r="C61" s="47" t="s">
        <v>110</v>
      </c>
      <c r="D61" s="48">
        <v>0.49</v>
      </c>
      <c r="E61" s="49"/>
      <c r="L61" s="2"/>
      <c r="AH61" s="6"/>
      <c r="AI61" s="2"/>
      <c r="AU61" s="6"/>
      <c r="AV61" s="2"/>
      <c r="AW61" s="6"/>
      <c r="AX61" s="2"/>
      <c r="BA61" s="6"/>
      <c r="BB61" s="2"/>
    </row>
    <row r="62" spans="3:54" x14ac:dyDescent="0.35">
      <c r="C62" s="40"/>
      <c r="D62" s="40"/>
      <c r="E62" s="40"/>
      <c r="L62" s="2"/>
      <c r="AH62" s="6"/>
      <c r="AI62" s="2"/>
      <c r="AU62" s="6"/>
      <c r="AV62" s="2"/>
      <c r="AW62" s="6"/>
      <c r="AX62" s="2"/>
      <c r="BA62" s="6"/>
      <c r="BB62" s="2"/>
    </row>
    <row r="63" spans="3:54" ht="14.5" x14ac:dyDescent="0.35">
      <c r="C63" s="50" t="s">
        <v>111</v>
      </c>
      <c r="D63" s="50"/>
      <c r="L63" s="2"/>
      <c r="AH63" s="6"/>
      <c r="AI63" s="2"/>
      <c r="AU63" s="6"/>
      <c r="AV63" s="2"/>
      <c r="AW63" s="6"/>
      <c r="AX63" s="2"/>
      <c r="BA63" s="6"/>
      <c r="BB63" s="2"/>
    </row>
    <row r="64" spans="3:54" ht="14.5" x14ac:dyDescent="0.35">
      <c r="C64" s="50" t="s">
        <v>112</v>
      </c>
      <c r="D64" s="50"/>
      <c r="L64" s="2"/>
      <c r="AH64" s="6"/>
      <c r="AI64" s="2"/>
      <c r="AU64" s="6"/>
      <c r="AV64" s="2"/>
      <c r="AW64" s="6"/>
      <c r="AX64" s="2"/>
      <c r="BA64" s="6"/>
      <c r="BB64" s="2"/>
    </row>
    <row r="65" spans="3:54" ht="14.5" x14ac:dyDescent="0.35">
      <c r="C65" s="50" t="s">
        <v>113</v>
      </c>
      <c r="D65" s="50"/>
      <c r="L65" s="2"/>
      <c r="AH65" s="6"/>
      <c r="AI65" s="2"/>
      <c r="AU65" s="6"/>
      <c r="AV65" s="2"/>
      <c r="AW65" s="6"/>
      <c r="AX65" s="2"/>
      <c r="BA65" s="6"/>
      <c r="BB65" s="2"/>
    </row>
    <row r="66" spans="3:54" ht="14.5" x14ac:dyDescent="0.35">
      <c r="C66" s="51" t="s">
        <v>114</v>
      </c>
      <c r="D66" s="50"/>
      <c r="L66" s="2"/>
      <c r="AH66" s="6"/>
      <c r="AI66" s="2"/>
      <c r="AU66" s="6"/>
      <c r="AV66" s="2"/>
      <c r="AW66" s="6"/>
      <c r="AX66" s="2"/>
      <c r="BA66" s="6"/>
      <c r="BB66" s="2"/>
    </row>
    <row r="67" spans="3:54" ht="14.5" x14ac:dyDescent="0.35">
      <c r="C67" s="51" t="s">
        <v>115</v>
      </c>
      <c r="D67" s="50"/>
      <c r="L67" s="2"/>
      <c r="AH67" s="6"/>
      <c r="AI67" s="2"/>
      <c r="AU67" s="6"/>
      <c r="AV67" s="2"/>
      <c r="AW67" s="6"/>
      <c r="AX67" s="2"/>
      <c r="BA67" s="6"/>
      <c r="BB67" s="2"/>
    </row>
    <row r="68" spans="3:54" ht="14.5" x14ac:dyDescent="0.35">
      <c r="C68" s="51" t="s">
        <v>116</v>
      </c>
      <c r="D68" s="50"/>
      <c r="L68" s="2"/>
      <c r="AH68" s="6"/>
      <c r="AI68" s="2"/>
      <c r="AU68" s="6"/>
      <c r="AV68" s="2"/>
      <c r="AW68" s="6"/>
      <c r="AX68" s="2"/>
      <c r="BA68" s="6"/>
      <c r="BB68" s="2"/>
    </row>
    <row r="69" spans="3:54" ht="14.5" x14ac:dyDescent="0.35">
      <c r="C69" s="51" t="s">
        <v>117</v>
      </c>
      <c r="D69" s="50"/>
      <c r="L69" s="2"/>
      <c r="AH69" s="6"/>
      <c r="AI69" s="2"/>
      <c r="AU69" s="6"/>
      <c r="AV69" s="2"/>
      <c r="AW69" s="6"/>
      <c r="AX69" s="2"/>
      <c r="BA69" s="6"/>
      <c r="BB69" s="2"/>
    </row>
    <row r="70" spans="3:54" ht="14.5" x14ac:dyDescent="0.35">
      <c r="C70" s="51" t="s">
        <v>118</v>
      </c>
      <c r="D70" s="50"/>
      <c r="L70" s="2"/>
      <c r="AH70" s="6"/>
      <c r="AI70" s="2"/>
      <c r="AU70" s="6"/>
      <c r="AV70" s="2"/>
      <c r="AW70" s="6"/>
      <c r="AX70" s="2"/>
      <c r="BA70" s="6"/>
      <c r="BB70" s="2"/>
    </row>
    <row r="71" spans="3:54" ht="14.5" x14ac:dyDescent="0.35">
      <c r="C71" s="51" t="s">
        <v>119</v>
      </c>
      <c r="D71" s="50"/>
      <c r="L71" s="2"/>
      <c r="AH71" s="6"/>
      <c r="AI71" s="2"/>
      <c r="AU71" s="6"/>
      <c r="AV71" s="2"/>
      <c r="AW71" s="6"/>
      <c r="AX71" s="2"/>
      <c r="BA71" s="6"/>
      <c r="BB71" s="2"/>
    </row>
    <row r="72" spans="3:54" ht="14.5" x14ac:dyDescent="0.35">
      <c r="C72" s="50" t="s">
        <v>120</v>
      </c>
      <c r="D72" s="50"/>
      <c r="L72" s="2"/>
      <c r="AH72" s="6"/>
      <c r="AI72" s="2"/>
      <c r="AU72" s="6"/>
      <c r="AV72" s="2"/>
      <c r="AW72" s="6"/>
      <c r="AX72" s="2"/>
      <c r="BA72" s="6"/>
      <c r="BB72" s="2"/>
    </row>
    <row r="73" spans="3:54" ht="14.5" x14ac:dyDescent="0.35">
      <c r="C73" s="50" t="s">
        <v>121</v>
      </c>
      <c r="D73" s="50"/>
      <c r="L73" s="2"/>
      <c r="AH73" s="6"/>
      <c r="AI73" s="2"/>
      <c r="AU73" s="6"/>
      <c r="AV73" s="2"/>
      <c r="AW73" s="6"/>
      <c r="AX73" s="2"/>
      <c r="BA73" s="6"/>
      <c r="BB73" s="2"/>
    </row>
    <row r="74" spans="3:54" ht="14.5" x14ac:dyDescent="0.35">
      <c r="C74" s="51" t="s">
        <v>122</v>
      </c>
      <c r="D74" s="50"/>
      <c r="L74" s="2"/>
      <c r="AH74" s="6"/>
      <c r="AI74" s="2"/>
      <c r="AU74" s="6"/>
      <c r="AV74" s="2"/>
      <c r="AW74" s="6"/>
      <c r="AX74" s="2"/>
      <c r="BA74" s="6"/>
      <c r="BB74" s="2"/>
    </row>
    <row r="75" spans="3:54" ht="14.5" x14ac:dyDescent="0.35">
      <c r="C75" s="50" t="s">
        <v>123</v>
      </c>
      <c r="D75" s="50"/>
      <c r="L75" s="2"/>
      <c r="AH75" s="6"/>
      <c r="AI75" s="2"/>
      <c r="AU75" s="6"/>
      <c r="AV75" s="2"/>
      <c r="AW75" s="6"/>
      <c r="AX75" s="2"/>
      <c r="BA75" s="6"/>
      <c r="BB75" s="2"/>
    </row>
    <row r="76" spans="3:54" ht="14.5" x14ac:dyDescent="0.35">
      <c r="C76" s="51" t="s">
        <v>124</v>
      </c>
      <c r="D76" s="50"/>
      <c r="L76" s="2"/>
      <c r="AH76" s="6"/>
      <c r="AI76" s="2"/>
      <c r="AU76" s="6"/>
      <c r="AV76" s="2"/>
      <c r="AW76" s="6"/>
      <c r="AX76" s="2"/>
      <c r="BA76" s="6"/>
      <c r="BB76" s="2"/>
    </row>
    <row r="77" spans="3:54" ht="14.5" x14ac:dyDescent="0.35">
      <c r="C77" s="51" t="s">
        <v>125</v>
      </c>
      <c r="D77" s="50"/>
      <c r="L77" s="2"/>
      <c r="AH77" s="6"/>
      <c r="AI77" s="2"/>
      <c r="AU77" s="6"/>
      <c r="AV77" s="2"/>
      <c r="AW77" s="6"/>
      <c r="AX77" s="2"/>
      <c r="BA77" s="6"/>
      <c r="BB77" s="2"/>
    </row>
    <row r="78" spans="3:54" ht="14.5" x14ac:dyDescent="0.35">
      <c r="C78" s="51"/>
      <c r="D78" s="50"/>
      <c r="L78" s="2"/>
      <c r="AH78" s="6"/>
      <c r="AI78" s="2"/>
      <c r="AU78" s="6"/>
      <c r="AV78" s="2"/>
      <c r="AW78" s="6"/>
      <c r="AX78" s="2"/>
      <c r="BA78" s="6"/>
      <c r="BB78" s="2"/>
    </row>
    <row r="79" spans="3:54" x14ac:dyDescent="0.35">
      <c r="C79" s="52" t="s">
        <v>126</v>
      </c>
      <c r="L79" s="2"/>
      <c r="AH79" s="6"/>
      <c r="AI79" s="2"/>
      <c r="AU79" s="6"/>
      <c r="AV79" s="2"/>
      <c r="AW79" s="6"/>
      <c r="AX79" s="2"/>
      <c r="BA79" s="6"/>
      <c r="BB79" s="2"/>
    </row>
    <row r="80" spans="3:54" ht="14" thickBot="1" x14ac:dyDescent="0.4">
      <c r="C80" s="52"/>
      <c r="L80" s="2"/>
      <c r="AH80" s="6"/>
      <c r="AI80" s="2"/>
      <c r="AU80" s="6"/>
      <c r="AV80" s="2"/>
      <c r="AW80" s="6"/>
      <c r="AX80" s="2"/>
      <c r="BA80" s="6"/>
      <c r="BB80" s="2"/>
    </row>
    <row r="81" spans="1:254" ht="232.5" customHeight="1" thickBot="1" x14ac:dyDescent="0.4">
      <c r="C81" s="53"/>
      <c r="D81" s="54"/>
      <c r="E81" s="54"/>
      <c r="F81" s="55"/>
      <c r="G81" s="56"/>
      <c r="L81" s="2"/>
      <c r="AH81" s="6"/>
      <c r="AI81" s="2"/>
      <c r="AU81" s="6"/>
      <c r="AV81" s="2"/>
      <c r="AW81" s="6"/>
      <c r="AX81" s="2"/>
      <c r="BA81" s="6"/>
      <c r="BB81" s="2"/>
    </row>
    <row r="82" spans="1:254" ht="25.5" customHeight="1" thickBot="1" x14ac:dyDescent="0.4">
      <c r="A82" s="57"/>
      <c r="B82" s="57"/>
      <c r="C82" s="63" t="s">
        <v>127</v>
      </c>
      <c r="D82" s="64"/>
      <c r="E82" s="64"/>
      <c r="F82" s="64"/>
      <c r="G82" s="65"/>
      <c r="H82" s="58"/>
      <c r="I82" s="58"/>
      <c r="J82" s="58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9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9"/>
      <c r="AU82" s="57"/>
      <c r="AV82" s="59"/>
      <c r="AW82" s="57"/>
      <c r="AX82" s="57"/>
      <c r="AY82" s="57"/>
      <c r="AZ82" s="59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/>
      <c r="FL82" s="57"/>
      <c r="FM82" s="57"/>
      <c r="FN82" s="57"/>
      <c r="FO82" s="57"/>
      <c r="FP82" s="57"/>
      <c r="FQ82" s="57"/>
      <c r="FR82" s="57"/>
      <c r="FS82" s="57"/>
      <c r="FT82" s="57"/>
      <c r="FU82" s="57"/>
      <c r="FV82" s="57"/>
      <c r="FW82" s="57"/>
      <c r="FX82" s="57"/>
      <c r="FY82" s="57"/>
      <c r="FZ82" s="57"/>
      <c r="GA82" s="57"/>
      <c r="GB82" s="57"/>
      <c r="GC82" s="57"/>
      <c r="GD82" s="57"/>
      <c r="GE82" s="57"/>
      <c r="GF82" s="57"/>
      <c r="GG82" s="57"/>
      <c r="GH82" s="57"/>
      <c r="GI82" s="57"/>
      <c r="GJ82" s="57"/>
      <c r="GK82" s="57"/>
      <c r="GL82" s="57"/>
      <c r="GM82" s="57"/>
      <c r="GN82" s="57"/>
      <c r="GO82" s="57"/>
      <c r="GP82" s="57"/>
      <c r="GQ82" s="57"/>
      <c r="GR82" s="57"/>
      <c r="GS82" s="57"/>
      <c r="GT82" s="57"/>
      <c r="GU82" s="57"/>
      <c r="GV82" s="57"/>
      <c r="GW82" s="57"/>
      <c r="GX82" s="57"/>
      <c r="GY82" s="57"/>
      <c r="GZ82" s="57"/>
      <c r="HA82" s="57"/>
      <c r="HB82" s="57"/>
      <c r="HC82" s="57"/>
      <c r="HD82" s="57"/>
      <c r="HE82" s="57"/>
      <c r="HF82" s="57"/>
      <c r="HG82" s="57"/>
      <c r="HH82" s="57"/>
      <c r="HI82" s="57"/>
      <c r="HJ82" s="57"/>
      <c r="HK82" s="57"/>
      <c r="HL82" s="57"/>
      <c r="HM82" s="57"/>
      <c r="HN82" s="57"/>
      <c r="HO82" s="57"/>
      <c r="HP82" s="57"/>
      <c r="HQ82" s="57"/>
      <c r="HR82" s="57"/>
      <c r="HS82" s="57"/>
      <c r="HT82" s="57"/>
      <c r="HU82" s="57"/>
      <c r="HV82" s="57"/>
      <c r="HW82" s="57"/>
      <c r="HX82" s="57"/>
      <c r="HY82" s="57"/>
      <c r="HZ82" s="57"/>
      <c r="IA82" s="57"/>
      <c r="IB82" s="57"/>
      <c r="IC82" s="57"/>
      <c r="ID82" s="57"/>
      <c r="IE82" s="57"/>
      <c r="IF82" s="57"/>
      <c r="IG82" s="57"/>
      <c r="IH82" s="57"/>
      <c r="II82" s="57"/>
      <c r="IJ82" s="57"/>
      <c r="IK82" s="57"/>
      <c r="IL82" s="57"/>
      <c r="IM82" s="57"/>
      <c r="IN82" s="57"/>
      <c r="IO82" s="57"/>
      <c r="IP82" s="57"/>
      <c r="IQ82" s="57"/>
      <c r="IR82" s="57"/>
      <c r="IS82" s="57"/>
      <c r="IT82" s="57"/>
    </row>
    <row r="83" spans="1:254" ht="143" x14ac:dyDescent="0.35">
      <c r="A83" s="57"/>
      <c r="B83" s="57"/>
      <c r="C83" s="60" t="s">
        <v>128</v>
      </c>
      <c r="D83" s="61"/>
      <c r="E83" s="61"/>
      <c r="F83" s="62"/>
      <c r="G83" s="58"/>
      <c r="H83" s="58"/>
      <c r="I83" s="58"/>
      <c r="J83" s="58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9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9"/>
      <c r="AU83" s="57"/>
      <c r="AV83" s="59"/>
      <c r="AW83" s="57"/>
      <c r="AX83" s="57"/>
      <c r="AY83" s="57"/>
      <c r="AZ83" s="59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57"/>
      <c r="FW83" s="57"/>
      <c r="FX83" s="57"/>
      <c r="FY83" s="57"/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/>
      <c r="GK83" s="57"/>
      <c r="GL83" s="57"/>
      <c r="GM83" s="57"/>
      <c r="GN83" s="57"/>
      <c r="GO83" s="57"/>
      <c r="GP83" s="57"/>
      <c r="GQ83" s="57"/>
      <c r="GR83" s="57"/>
      <c r="GS83" s="57"/>
      <c r="GT83" s="57"/>
      <c r="GU83" s="57"/>
      <c r="GV83" s="57"/>
      <c r="GW83" s="57"/>
      <c r="GX83" s="57"/>
      <c r="GY83" s="57"/>
      <c r="GZ83" s="57"/>
      <c r="HA83" s="57"/>
      <c r="HB83" s="57"/>
      <c r="HC83" s="57"/>
      <c r="HD83" s="57"/>
      <c r="HE83" s="57"/>
      <c r="HF83" s="57"/>
      <c r="HG83" s="57"/>
      <c r="HH83" s="57"/>
      <c r="HI83" s="57"/>
      <c r="HJ83" s="57"/>
      <c r="HK83" s="57"/>
      <c r="HL83" s="57"/>
      <c r="HM83" s="57"/>
      <c r="HN83" s="57"/>
      <c r="HO83" s="57"/>
      <c r="HP83" s="57"/>
      <c r="HQ83" s="57"/>
      <c r="HR83" s="57"/>
      <c r="HS83" s="57"/>
      <c r="HT83" s="57"/>
      <c r="HU83" s="57"/>
      <c r="HV83" s="57"/>
      <c r="HW83" s="57"/>
      <c r="HX83" s="57"/>
      <c r="HY83" s="57"/>
      <c r="HZ83" s="57"/>
      <c r="IA83" s="57"/>
      <c r="IB83" s="57"/>
      <c r="IC83" s="57"/>
      <c r="ID83" s="57"/>
      <c r="IE83" s="57"/>
      <c r="IF83" s="57"/>
      <c r="IG83" s="57"/>
      <c r="IH83" s="57"/>
      <c r="II83" s="57"/>
      <c r="IJ83" s="57"/>
      <c r="IK83" s="57"/>
      <c r="IL83" s="57"/>
      <c r="IM83" s="57"/>
      <c r="IN83" s="57"/>
      <c r="IO83" s="57"/>
      <c r="IP83" s="57"/>
      <c r="IQ83" s="57"/>
      <c r="IR83" s="57"/>
      <c r="IS83" s="57"/>
      <c r="IT83" s="57"/>
    </row>
  </sheetData>
  <mergeCells count="9">
    <mergeCell ref="C56:C57"/>
    <mergeCell ref="D56:E56"/>
    <mergeCell ref="C82:G82"/>
    <mergeCell ref="C2:J2"/>
    <mergeCell ref="D3:J3"/>
    <mergeCell ref="D4:J4"/>
    <mergeCell ref="C44:J44"/>
    <mergeCell ref="C46:J46"/>
    <mergeCell ref="C55:E5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HFSF</vt:lpstr>
      <vt:lpstr>XDO_?CLASS_3?3?</vt:lpstr>
      <vt:lpstr>XDO_?FINAL_ISIN?10?</vt:lpstr>
      <vt:lpstr>XDO_?FINAL_ISIN?11?</vt:lpstr>
      <vt:lpstr>XDO_?FINAL_ISIN?9?</vt:lpstr>
      <vt:lpstr>XDO_?FINAL_MV?10?</vt:lpstr>
      <vt:lpstr>XDO_?FINAL_MV?11?</vt:lpstr>
      <vt:lpstr>XDO_?FINAL_MV?9?</vt:lpstr>
      <vt:lpstr>XDO_?FINAL_NAME?10?</vt:lpstr>
      <vt:lpstr>XDO_?FINAL_NAME?11?</vt:lpstr>
      <vt:lpstr>XDO_?FINAL_NAME?9?</vt:lpstr>
      <vt:lpstr>XDO_?FINAL_PER_NET?10?</vt:lpstr>
      <vt:lpstr>XDO_?FINAL_PER_NET?11?</vt:lpstr>
      <vt:lpstr>XDO_?FINAL_PER_NET?9?</vt:lpstr>
      <vt:lpstr>XDO_?FINAL_QUANTITE?10?</vt:lpstr>
      <vt:lpstr>XDO_?FINAL_QUANTITE?11?</vt:lpstr>
      <vt:lpstr>XDO_?FINAL_QUANTITE?9?</vt:lpstr>
      <vt:lpstr>XDO_?NAMCNAME?3?</vt:lpstr>
      <vt:lpstr>XDO_?NOVAL?10?</vt:lpstr>
      <vt:lpstr>XDO_?NOVAL?11?</vt:lpstr>
      <vt:lpstr>XDO_?NOVAL?9?</vt:lpstr>
      <vt:lpstr>XDO_?NPTF?3?</vt:lpstr>
      <vt:lpstr>XDO_?RATING?10?</vt:lpstr>
      <vt:lpstr>XDO_?RATING?11?</vt:lpstr>
      <vt:lpstr>XDO_?RATING?9?</vt:lpstr>
      <vt:lpstr>XDO_?REMARKS?10?</vt:lpstr>
      <vt:lpstr>XDO_?REMARKS?11?</vt:lpstr>
      <vt:lpstr>XDO_?REMARKS?9?</vt:lpstr>
      <vt:lpstr>XDO_?TITL?3?</vt:lpstr>
      <vt:lpstr>XDO_?YTM?10?</vt:lpstr>
      <vt:lpstr>XDO_?YTM?11?</vt:lpstr>
      <vt:lpstr>XDO_?YTM?9?</vt:lpstr>
      <vt:lpstr>XDO_GROUP_?G_2?3?</vt:lpstr>
      <vt:lpstr>XDO_GROUP_?G_3?3?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2025-06-06T07:15:47Z</dcterms:created>
  <dcterms:modified xsi:type="dcterms:W3CDTF">2025-06-06T12:08:53Z</dcterms:modified>
</cp:coreProperties>
</file>