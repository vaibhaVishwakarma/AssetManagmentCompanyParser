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ay Monthly Portfolio\"/>
    </mc:Choice>
  </mc:AlternateContent>
  <xr:revisionPtr revIDLastSave="0" documentId="13_ncr:1_{00BF32ED-4934-4D37-B604-3F878C3406FF}" xr6:coauthVersionLast="47" xr6:coauthVersionMax="47" xr10:uidLastSave="{00000000-0000-0000-0000-000000000000}"/>
  <bookViews>
    <workbookView xWindow="-110" yWindow="-110" windowWidth="19420" windowHeight="10300" xr2:uid="{BAF236EC-4464-4E48-A966-43B9912BEFC0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_FilterDatabase" localSheetId="0" hidden="1">'Financial Services'!$I$8:$I$116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RBF!$A$1</definedName>
    <definedName name="JR_PAGE_ANCHOR_0_21">'Financial Services'!$A$1</definedName>
    <definedName name="JR_PAGE_ANCHOR_0_3">[13]IENEFOF!$A$1</definedName>
    <definedName name="JR_PAGE_ANCHOR_0_4">[14]IESF!$A$1</definedName>
    <definedName name="JR_PAGE_ANCHOR_0_5">[15]IESGEF!$A$1</definedName>
    <definedName name="JR_PAGE_ANCHOR_0_6">[16]IFCF!$A$1</definedName>
    <definedName name="JR_PAGE_ANCHOR_0_7">[17]IFEF!$A$1</definedName>
    <definedName name="JR_PAGE_ANCHOR_0_8">[18]IGCTFOF!$A$1</definedName>
    <definedName name="JR_PAGE_ANCHOR_0_9">[19]IMAAF!$A$1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6" i="1" l="1"/>
</calcChain>
</file>

<file path=xl/sharedStrings.xml><?xml version="1.0" encoding="utf-8"?>
<sst xmlns="http://schemas.openxmlformats.org/spreadsheetml/2006/main" count="256" uniqueCount="194">
  <si>
    <t>RBF</t>
  </si>
  <si>
    <t>INVESCO MUTUAL FUND</t>
  </si>
  <si>
    <t>Monthly Portfolio Statement as on May 31, 2025</t>
  </si>
  <si>
    <t>Invesco India Financial Services Fund (An open ended equity scheme investing in financial services sector)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</si>
  <si>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</si>
  <si>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</si>
  <si>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</si>
  <si>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</si>
  <si>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</si>
  <si>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</si>
  <si>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</si>
  <si>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</si>
  <si>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</si>
  <si>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</si>
  <si>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</si>
  <si>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</si>
  <si>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</si>
  <si>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</si>
  <si>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</si>
  <si>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</si>
  <si>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UTIB02</t>
  </si>
  <si>
    <t>Axis Bank Limited</t>
  </si>
  <si>
    <t>INE238A01034</t>
  </si>
  <si>
    <t>SBAI02</t>
  </si>
  <si>
    <t>State Bank of India</t>
  </si>
  <si>
    <t>INE062A01020</t>
  </si>
  <si>
    <t>MCEX01</t>
  </si>
  <si>
    <t>Multi Commodity Exchange of India Limited</t>
  </si>
  <si>
    <t>INE745G01035</t>
  </si>
  <si>
    <t>Capital Markets</t>
  </si>
  <si>
    <t>KAVY06</t>
  </si>
  <si>
    <t>Karur Vysya Bank Limited</t>
  </si>
  <si>
    <t>INE036D01028</t>
  </si>
  <si>
    <t>CHOL02</t>
  </si>
  <si>
    <t>Cholamandalam Investment and Finance Company Limited</t>
  </si>
  <si>
    <t>INE121A01024</t>
  </si>
  <si>
    <t>Finance</t>
  </si>
  <si>
    <t>HDAM01</t>
  </si>
  <si>
    <t>HDFC Asset Management Company Limited</t>
  </si>
  <si>
    <t>INE127D01025</t>
  </si>
  <si>
    <t>SHTR02</t>
  </si>
  <si>
    <t>Shriram Finance Limited</t>
  </si>
  <si>
    <t>INE721A01047</t>
  </si>
  <si>
    <t>ESMC02</t>
  </si>
  <si>
    <t>PB Fintech Limited</t>
  </si>
  <si>
    <t>INE417T01026</t>
  </si>
  <si>
    <t>Financial Technology (Fintech)</t>
  </si>
  <si>
    <t>BSEL02</t>
  </si>
  <si>
    <t>BSE Limited</t>
  </si>
  <si>
    <t>INE118H01025</t>
  </si>
  <si>
    <t>SLIF01</t>
  </si>
  <si>
    <t>SBI Life Insurance Company Limited</t>
  </si>
  <si>
    <t>INE123W01016</t>
  </si>
  <si>
    <t>Insurance</t>
  </si>
  <si>
    <t>MUFL01</t>
  </si>
  <si>
    <t>Muthoot Finance Limited</t>
  </si>
  <si>
    <t>INE414G01012</t>
  </si>
  <si>
    <t>INBK01</t>
  </si>
  <si>
    <t>Indian Bank</t>
  </si>
  <si>
    <t>INE562A01011</t>
  </si>
  <si>
    <t>FEBA02</t>
  </si>
  <si>
    <t>The Federal Bank  Limited</t>
  </si>
  <si>
    <t>INE171A01029</t>
  </si>
  <si>
    <t>SBFC01</t>
  </si>
  <si>
    <t>SBFC Finance Limited</t>
  </si>
  <si>
    <t>INE423Y01016</t>
  </si>
  <si>
    <t>EFPL01</t>
  </si>
  <si>
    <t>Equitas Small Finance Bank Limited</t>
  </si>
  <si>
    <t>INE063P01018</t>
  </si>
  <si>
    <t>ILOM01</t>
  </si>
  <si>
    <t>ICICI Lombard General Insurance Company Limited</t>
  </si>
  <si>
    <t>INE765G01017</t>
  </si>
  <si>
    <t>HFFC02</t>
  </si>
  <si>
    <t>Home First Finance Company India Limited</t>
  </si>
  <si>
    <t>INE481N01025</t>
  </si>
  <si>
    <t>PRUD01</t>
  </si>
  <si>
    <t>Prudent Corporate Advisory Services Limited</t>
  </si>
  <si>
    <t>INE00F201020</t>
  </si>
  <si>
    <t>RELC01</t>
  </si>
  <si>
    <t>REC Limited</t>
  </si>
  <si>
    <t>INE020B01018</t>
  </si>
  <si>
    <t>MAXI02</t>
  </si>
  <si>
    <t>Max Financial Services Limited</t>
  </si>
  <si>
    <t>INE180A01020</t>
  </si>
  <si>
    <t>MEAH02</t>
  </si>
  <si>
    <t>Medi Assist Healthcare Services Limited</t>
  </si>
  <si>
    <t>INE456Z01021</t>
  </si>
  <si>
    <t>BKBA02</t>
  </si>
  <si>
    <t>Bank of Baroda</t>
  </si>
  <si>
    <t>INE028A01039</t>
  </si>
  <si>
    <t>IIBL01</t>
  </si>
  <si>
    <t>IndusInd Bank Limited</t>
  </si>
  <si>
    <t>INE095A01012</t>
  </si>
  <si>
    <t>CAMS01</t>
  </si>
  <si>
    <t>Computer Age Management Services Limited</t>
  </si>
  <si>
    <t>INE596I01012</t>
  </si>
  <si>
    <t>AAHF01</t>
  </si>
  <si>
    <t>Aadhar Housing Finance Limited</t>
  </si>
  <si>
    <t>INE883F01010</t>
  </si>
  <si>
    <t>BHFL01</t>
  </si>
  <si>
    <t>Bajaj Housing Finance Limited</t>
  </si>
  <si>
    <t>INE377Y01014</t>
  </si>
  <si>
    <t>CANH02</t>
  </si>
  <si>
    <t>Can Fin Homes Limited</t>
  </si>
  <si>
    <t>INE477A01020</t>
  </si>
  <si>
    <t>IIFM02</t>
  </si>
  <si>
    <t>360 One WAM Limited</t>
  </si>
  <si>
    <t>INE466L01038</t>
  </si>
  <si>
    <t>AGBL01</t>
  </si>
  <si>
    <t>Angel One Limited</t>
  </si>
  <si>
    <t>INE732I01013</t>
  </si>
  <si>
    <t>CDSL01</t>
  </si>
  <si>
    <t>Central Depository Services (India) Limited</t>
  </si>
  <si>
    <t>INE736A01011</t>
  </si>
  <si>
    <t>$0.00</t>
  </si>
  <si>
    <t>Sub Total</t>
  </si>
  <si>
    <t>(b) Unlisted</t>
  </si>
  <si>
    <t>Nil</t>
  </si>
  <si>
    <t>Total</t>
  </si>
  <si>
    <t>Derivatives</t>
  </si>
  <si>
    <t>Index / Stock Futures</t>
  </si>
  <si>
    <t>CDSLJUN25</t>
  </si>
  <si>
    <t>Central Depository Services (India) Limited June 2025 Future</t>
  </si>
  <si>
    <t>AGBLJUN25</t>
  </si>
  <si>
    <t>Angel One Limited June 2025 Future</t>
  </si>
  <si>
    <t>Money Market Instruments</t>
  </si>
  <si>
    <t>TREPS / Reverse Repo</t>
  </si>
  <si>
    <t>TRP_020625</t>
  </si>
  <si>
    <t>Triparty Repo</t>
  </si>
  <si>
    <t>Net Receivables / (Payables)</t>
  </si>
  <si>
    <t>GRAND TOTAL</t>
  </si>
  <si>
    <t>YTM - Yield To Maturity</t>
  </si>
  <si>
    <t>$ Less than 0.005%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</si>
  <si>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</si>
  <si>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</si>
  <si>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</si>
  <si>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</si>
  <si>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May 31, 2025:` 2,162.98 Lakhs. for details on derivative positions during the month ended May 31, 2025, please 
       refer to Derivative Disclosure table.</t>
  </si>
  <si>
    <t>(4)  Total investments in Foreign Securities / Overseas ETFs as on May 31, 2025 and its percentage to NAV : Nil</t>
  </si>
  <si>
    <t>(5)  Deviation from the valuation prices given by valuation agencies during the month ended May 31, 2025: Nil</t>
  </si>
  <si>
    <t>A.</t>
  </si>
  <si>
    <t>Hedging Positions through Futures as on May 31, 2025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</si>
  <si>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</si>
  <si>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</si>
  <si>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</si>
  <si>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</si>
  <si>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 xml:space="preserve"> in Lakhs)</t>
    </r>
  </si>
  <si>
    <t>Long</t>
  </si>
  <si>
    <t>Total %age of existing assets hedged through futures : 1.58%</t>
  </si>
  <si>
    <t>Details of hedging transactions through futures which have been squared off  / expired during the period ended May 31, 2025 are as follows:</t>
  </si>
  <si>
    <t xml:space="preserve">Total Number of contracts where futures were bought : </t>
  </si>
  <si>
    <t>Total Number of contracts where futures were sold : 393</t>
  </si>
  <si>
    <t xml:space="preserve">Gross Notional Value of contracts where futures were bought : </t>
  </si>
  <si>
    <t>Gross Notional Value of contracts where futures were sold : 214,280,925</t>
  </si>
  <si>
    <t>Net Profit/(Loss) value on all contracts combined : 47,968,574</t>
  </si>
  <si>
    <t>B.</t>
  </si>
  <si>
    <t>Other than Hedging Positions through Futures as on May 31, 2025</t>
  </si>
  <si>
    <t>Details of non-hedging transactions through futures which have been squared off  / expired during the period ended May 31, 2025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</si>
  <si>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</si>
  <si>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</si>
  <si>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</si>
  <si>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</si>
  <si>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</si>
  <si>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C.</t>
  </si>
  <si>
    <t>Hedging Positions through Put Options as on May 31, 2025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</si>
  <si>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</si>
  <si>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</si>
  <si>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</si>
  <si>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</si>
  <si>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May 31, 2025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</si>
  <si>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</si>
  <si>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May 31, 2025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</si>
  <si>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</si>
  <si>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</si>
  <si>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</si>
  <si>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</si>
  <si>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May 31, 2025 are as follows:
Total Number of contracts entered into : Nil
Gross Notional Value of contracts : Nil
Net Profit/(Loss) on all contracts (premium paid treated as loss) : Nil</t>
  </si>
  <si>
    <t>E.</t>
  </si>
  <si>
    <t>Hedging Positions through swaps as on May 31, 2025 - Nil</t>
  </si>
  <si>
    <t>BENCHMARK NAME - NIFTY FINANCIAL SERVICES TRI</t>
  </si>
  <si>
    <t>SCHEME RISK-O-METER</t>
  </si>
  <si>
    <t>BENCHMARK RISK-O-METER</t>
  </si>
  <si>
    <t>Clearing Corporation of India Ltd</t>
  </si>
  <si>
    <t>Cholamandalam Investment and Finance Company Ltd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</si>
  <si>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</si>
  <si>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</si>
  <si>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</si>
  <si>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</si>
  <si>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</si>
  <si>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</si>
  <si>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</si>
  <si>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</si>
  <si>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</si>
  <si>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 investing in financial services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</si>
</sst>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sz val="11"/>
      <color theme="1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0" xfId="0" applyNumberFormat="1" applyFont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8" xfId="0" applyBorder="1"/>
    <xf numFmtId="4" fontId="0" fillId="0" borderId="18" xfId="0" applyNumberFormat="1" applyBorder="1" applyAlignment="1">
      <alignment vertical="center" wrapText="1"/>
    </xf>
    <xf numFmtId="165" fontId="0" fillId="0" borderId="18" xfId="0" applyNumberFormat="1" applyBorder="1" applyAlignment="1">
      <alignment vertical="center" wrapText="1"/>
    </xf>
    <xf numFmtId="4" fontId="0" fillId="0" borderId="18" xfId="0" applyNumberFormat="1" applyBorder="1"/>
    <xf numFmtId="165" fontId="0" fillId="0" borderId="18" xfId="0" applyNumberFormat="1" applyBorder="1"/>
    <xf numFmtId="0" fontId="0" fillId="0" borderId="0" xfId="0" applyAlignment="1">
      <alignment wrapText="1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4" fontId="0" fillId="0" borderId="0" xfId="0" applyNumberFormat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vertical="center"/>
    </xf>
    <xf numFmtId="0" fontId="0" fillId="0" borderId="23" xfId="0" applyBorder="1"/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8" xfId="0" applyBorder="1" applyAlignment="1">
      <alignment horizontal="left" vertical="top" wrapText="1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CF8417D4-4B12-42EC-8BCD-563EF9D60B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1</xdr:col>
      <xdr:colOff>2857500</xdr:colOff>
      <xdr:row>129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01BFE6-B0DE-42F4-B1D2-B84B6A9A6B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230505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119</xdr:row>
      <xdr:rowOff>0</xdr:rowOff>
    </xdr:from>
    <xdr:to>
      <xdr:col>8</xdr:col>
      <xdr:colOff>333375</xdr:colOff>
      <xdr:row>129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77FEB0-06C8-49E3-AAC5-49A90D3797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0700" y="2305050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87F25-6086-4D45-B3EB-6ED85F95856A}">
  <sheetPr codeName="Sheet10">
    <outlinePr summaryBelow="0"/>
  </sheetPr>
  <dimension ref="A1:I118"/>
  <sheetViews>
    <sheetView showGridLines="0" tabSelected="1" zoomScaleNormal="100" workbookViewId="0">
      <selection activeCell="B54" sqref="B54"/>
    </sheetView>
  </sheetViews>
  <sheetFormatPr defaultRowHeight="14.5"/>
  <cols>
    <col min="1" max="1" width="4.453125" customWidth="1"/>
    <col min="2" max="2" width="81.7265625" customWidth="1"/>
    <col min="3" max="3" width="18" customWidth="1"/>
    <col min="4" max="4" width="36" customWidth="1"/>
    <col min="5" max="5" width="12.7265625" customWidth="1"/>
    <col min="6" max="6" width="15.26953125" customWidth="1"/>
    <col min="7" max="7" width="14.54296875" customWidth="1"/>
    <col min="8" max="8" width="8" customWidth="1"/>
  </cols>
  <sheetData>
    <row r="1" spans="1:9" ht="20.149999999999999" customHeight="1">
      <c r="A1" s="1" t="s">
        <v>0</v>
      </c>
      <c r="B1" s="85" t="s">
        <v>1</v>
      </c>
      <c r="C1" s="85"/>
      <c r="D1" s="85"/>
      <c r="E1" s="85"/>
      <c r="F1" s="85"/>
      <c r="G1" s="85"/>
      <c r="H1" s="85"/>
    </row>
    <row r="2" spans="1:9" ht="20.149999999999999" customHeight="1">
      <c r="A2" s="2"/>
      <c r="B2" s="85" t="s">
        <v>2</v>
      </c>
      <c r="C2" s="85"/>
      <c r="D2" s="85"/>
      <c r="E2" s="85"/>
      <c r="F2" s="85"/>
      <c r="G2" s="85"/>
      <c r="H2" s="85"/>
    </row>
    <row r="3" spans="1:9" ht="74.25" customHeight="1">
      <c r="A3" s="2"/>
      <c r="B3" s="85" t="s">
        <v>3</v>
      </c>
      <c r="C3" s="85"/>
      <c r="D3" s="85"/>
      <c r="E3" s="85"/>
      <c r="F3" s="85"/>
      <c r="G3" s="85"/>
      <c r="H3" s="85"/>
    </row>
    <row r="4" spans="1:9" ht="13" customHeight="1" thickBot="1">
      <c r="A4" s="2"/>
      <c r="B4" s="77"/>
      <c r="C4" s="77"/>
      <c r="D4" s="77"/>
      <c r="E4" s="77"/>
      <c r="F4" s="77"/>
      <c r="G4" s="77"/>
      <c r="H4" s="77"/>
    </row>
    <row r="5" spans="1:9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9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9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9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1973483</v>
      </c>
      <c r="F8" s="14">
        <v>28532.62</v>
      </c>
      <c r="G8" s="14">
        <v>20.79</v>
      </c>
      <c r="H8" s="15"/>
      <c r="I8" s="16"/>
    </row>
    <row r="9" spans="1:9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1383926</v>
      </c>
      <c r="F9" s="14">
        <v>26915.98</v>
      </c>
      <c r="G9" s="14">
        <v>19.61</v>
      </c>
      <c r="H9" s="15"/>
      <c r="I9" s="16"/>
    </row>
    <row r="10" spans="1:9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645964</v>
      </c>
      <c r="F10" s="14">
        <v>7701.18</v>
      </c>
      <c r="G10" s="14">
        <v>5.61</v>
      </c>
      <c r="H10" s="15"/>
      <c r="I10" s="16"/>
    </row>
    <row r="11" spans="1:9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838841</v>
      </c>
      <c r="F11" s="14">
        <v>6813.91</v>
      </c>
      <c r="G11" s="14">
        <v>4.96</v>
      </c>
      <c r="H11" s="15"/>
      <c r="I11" s="16"/>
    </row>
    <row r="12" spans="1:9" ht="13" customHeight="1">
      <c r="A12" s="1" t="s">
        <v>26</v>
      </c>
      <c r="B12" s="11" t="s">
        <v>27</v>
      </c>
      <c r="C12" s="12" t="s">
        <v>28</v>
      </c>
      <c r="D12" s="8" t="s">
        <v>29</v>
      </c>
      <c r="E12" s="13">
        <v>85476</v>
      </c>
      <c r="F12" s="14">
        <v>5643.13</v>
      </c>
      <c r="G12" s="14">
        <v>4.1100000000000003</v>
      </c>
      <c r="H12" s="15"/>
      <c r="I12" s="16"/>
    </row>
    <row r="13" spans="1:9" ht="13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1947973</v>
      </c>
      <c r="F13" s="14">
        <v>4318.46</v>
      </c>
      <c r="G13" s="14">
        <v>3.15</v>
      </c>
      <c r="H13" s="15"/>
      <c r="I13" s="16"/>
    </row>
    <row r="14" spans="1:9" ht="13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267947</v>
      </c>
      <c r="F14" s="14">
        <v>4289.83</v>
      </c>
      <c r="G14" s="14">
        <v>3.13</v>
      </c>
      <c r="H14" s="15"/>
      <c r="I14" s="16"/>
    </row>
    <row r="15" spans="1:9" ht="13" customHeight="1">
      <c r="A15" s="1" t="s">
        <v>37</v>
      </c>
      <c r="B15" s="11" t="s">
        <v>38</v>
      </c>
      <c r="C15" s="12" t="s">
        <v>39</v>
      </c>
      <c r="D15" s="8" t="s">
        <v>29</v>
      </c>
      <c r="E15" s="13">
        <v>78652</v>
      </c>
      <c r="F15" s="14">
        <v>3761.93</v>
      </c>
      <c r="G15" s="14">
        <v>2.74</v>
      </c>
      <c r="H15" s="15"/>
      <c r="I15" s="16"/>
    </row>
    <row r="16" spans="1:9" ht="13" customHeight="1">
      <c r="A16" s="1" t="s">
        <v>40</v>
      </c>
      <c r="B16" s="11" t="s">
        <v>41</v>
      </c>
      <c r="C16" s="12" t="s">
        <v>42</v>
      </c>
      <c r="D16" s="8" t="s">
        <v>36</v>
      </c>
      <c r="E16" s="13">
        <v>562890</v>
      </c>
      <c r="F16" s="14">
        <v>3598.84</v>
      </c>
      <c r="G16" s="14">
        <v>2.62</v>
      </c>
      <c r="H16" s="15"/>
      <c r="I16" s="16"/>
    </row>
    <row r="17" spans="1:9" ht="13" customHeight="1">
      <c r="A17" s="1" t="s">
        <v>43</v>
      </c>
      <c r="B17" s="11" t="s">
        <v>44</v>
      </c>
      <c r="C17" s="12" t="s">
        <v>45</v>
      </c>
      <c r="D17" s="8" t="s">
        <v>46</v>
      </c>
      <c r="E17" s="13">
        <v>202712</v>
      </c>
      <c r="F17" s="14">
        <v>3570.97</v>
      </c>
      <c r="G17" s="14">
        <v>2.6</v>
      </c>
      <c r="H17" s="15"/>
      <c r="I17" s="16"/>
    </row>
    <row r="18" spans="1:9" ht="13" customHeight="1">
      <c r="A18" s="1" t="s">
        <v>47</v>
      </c>
      <c r="B18" s="11" t="s">
        <v>48</v>
      </c>
      <c r="C18" s="12" t="s">
        <v>49</v>
      </c>
      <c r="D18" s="8" t="s">
        <v>29</v>
      </c>
      <c r="E18" s="13">
        <v>130197</v>
      </c>
      <c r="F18" s="14">
        <v>3481.47</v>
      </c>
      <c r="G18" s="14">
        <v>2.54</v>
      </c>
      <c r="H18" s="15"/>
      <c r="I18" s="16"/>
    </row>
    <row r="19" spans="1:9" ht="13" customHeight="1">
      <c r="A19" s="1" t="s">
        <v>50</v>
      </c>
      <c r="B19" s="11" t="s">
        <v>51</v>
      </c>
      <c r="C19" s="12" t="s">
        <v>52</v>
      </c>
      <c r="D19" s="8" t="s">
        <v>53</v>
      </c>
      <c r="E19" s="13">
        <v>168205</v>
      </c>
      <c r="F19" s="14">
        <v>3048.21</v>
      </c>
      <c r="G19" s="14">
        <v>2.2200000000000002</v>
      </c>
      <c r="H19" s="15"/>
      <c r="I19" s="16"/>
    </row>
    <row r="20" spans="1:9" ht="13" customHeight="1">
      <c r="A20" s="1" t="s">
        <v>54</v>
      </c>
      <c r="B20" s="11" t="s">
        <v>55</v>
      </c>
      <c r="C20" s="12" t="s">
        <v>56</v>
      </c>
      <c r="D20" s="8" t="s">
        <v>36</v>
      </c>
      <c r="E20" s="13">
        <v>129828</v>
      </c>
      <c r="F20" s="14">
        <v>2876.21</v>
      </c>
      <c r="G20" s="14">
        <v>2.1</v>
      </c>
      <c r="H20" s="15"/>
      <c r="I20" s="16"/>
    </row>
    <row r="21" spans="1:9" ht="13" customHeight="1">
      <c r="A21" s="1" t="s">
        <v>57</v>
      </c>
      <c r="B21" s="11" t="s">
        <v>58</v>
      </c>
      <c r="C21" s="12" t="s">
        <v>59</v>
      </c>
      <c r="D21" s="8" t="s">
        <v>16</v>
      </c>
      <c r="E21" s="13">
        <v>454070</v>
      </c>
      <c r="F21" s="14">
        <v>2799.8</v>
      </c>
      <c r="G21" s="14">
        <v>2.04</v>
      </c>
      <c r="H21" s="15"/>
      <c r="I21" s="16"/>
    </row>
    <row r="22" spans="1:9" ht="13" customHeight="1">
      <c r="A22" s="1" t="s">
        <v>60</v>
      </c>
      <c r="B22" s="11" t="s">
        <v>61</v>
      </c>
      <c r="C22" s="12" t="s">
        <v>62</v>
      </c>
      <c r="D22" s="8" t="s">
        <v>16</v>
      </c>
      <c r="E22" s="13">
        <v>1181832</v>
      </c>
      <c r="F22" s="14">
        <v>2388.0100000000002</v>
      </c>
      <c r="G22" s="14">
        <v>1.74</v>
      </c>
      <c r="H22" s="15"/>
      <c r="I22" s="16"/>
    </row>
    <row r="23" spans="1:9" ht="13" customHeight="1">
      <c r="A23" s="1" t="s">
        <v>63</v>
      </c>
      <c r="B23" s="11" t="s">
        <v>64</v>
      </c>
      <c r="C23" s="12" t="s">
        <v>65</v>
      </c>
      <c r="D23" s="8" t="s">
        <v>36</v>
      </c>
      <c r="E23" s="13">
        <v>1954694</v>
      </c>
      <c r="F23" s="14">
        <v>2207.2399999999998</v>
      </c>
      <c r="G23" s="14">
        <v>1.61</v>
      </c>
      <c r="H23" s="15"/>
      <c r="I23" s="16"/>
    </row>
    <row r="24" spans="1:9" ht="13" customHeight="1">
      <c r="A24" s="1" t="s">
        <v>66</v>
      </c>
      <c r="B24" s="11" t="s">
        <v>67</v>
      </c>
      <c r="C24" s="12" t="s">
        <v>68</v>
      </c>
      <c r="D24" s="8" t="s">
        <v>16</v>
      </c>
      <c r="E24" s="13">
        <v>3453874</v>
      </c>
      <c r="F24" s="14">
        <v>2197.0100000000002</v>
      </c>
      <c r="G24" s="14">
        <v>1.6</v>
      </c>
      <c r="H24" s="15"/>
      <c r="I24" s="16"/>
    </row>
    <row r="25" spans="1:9" ht="13" customHeight="1">
      <c r="A25" s="1" t="s">
        <v>69</v>
      </c>
      <c r="B25" s="11" t="s">
        <v>70</v>
      </c>
      <c r="C25" s="12" t="s">
        <v>71</v>
      </c>
      <c r="D25" s="8" t="s">
        <v>53</v>
      </c>
      <c r="E25" s="13">
        <v>115568</v>
      </c>
      <c r="F25" s="14">
        <v>2167.36</v>
      </c>
      <c r="G25" s="14">
        <v>1.58</v>
      </c>
      <c r="H25" s="15"/>
      <c r="I25" s="16"/>
    </row>
    <row r="26" spans="1:9" ht="13" customHeight="1">
      <c r="A26" s="1" t="s">
        <v>72</v>
      </c>
      <c r="B26" s="11" t="s">
        <v>73</v>
      </c>
      <c r="C26" s="12" t="s">
        <v>74</v>
      </c>
      <c r="D26" s="8" t="s">
        <v>36</v>
      </c>
      <c r="E26" s="13">
        <v>153151</v>
      </c>
      <c r="F26" s="14">
        <v>1952.37</v>
      </c>
      <c r="G26" s="14">
        <v>1.42</v>
      </c>
      <c r="H26" s="15"/>
      <c r="I26" s="16"/>
    </row>
    <row r="27" spans="1:9" ht="13" customHeight="1">
      <c r="A27" s="1" t="s">
        <v>75</v>
      </c>
      <c r="B27" s="11" t="s">
        <v>76</v>
      </c>
      <c r="C27" s="12" t="s">
        <v>77</v>
      </c>
      <c r="D27" s="8" t="s">
        <v>29</v>
      </c>
      <c r="E27" s="13">
        <v>62675</v>
      </c>
      <c r="F27" s="14">
        <v>1850.6</v>
      </c>
      <c r="G27" s="14">
        <v>1.35</v>
      </c>
      <c r="H27" s="15"/>
      <c r="I27" s="16"/>
    </row>
    <row r="28" spans="1:9" ht="13" customHeight="1">
      <c r="A28" s="1" t="s">
        <v>78</v>
      </c>
      <c r="B28" s="11" t="s">
        <v>79</v>
      </c>
      <c r="C28" s="12" t="s">
        <v>80</v>
      </c>
      <c r="D28" s="8" t="s">
        <v>36</v>
      </c>
      <c r="E28" s="13">
        <v>414445</v>
      </c>
      <c r="F28" s="14">
        <v>1667.31</v>
      </c>
      <c r="G28" s="14">
        <v>1.21</v>
      </c>
      <c r="H28" s="15"/>
      <c r="I28" s="16"/>
    </row>
    <row r="29" spans="1:9" ht="13" customHeight="1">
      <c r="A29" s="1" t="s">
        <v>81</v>
      </c>
      <c r="B29" s="11" t="s">
        <v>82</v>
      </c>
      <c r="C29" s="12" t="s">
        <v>83</v>
      </c>
      <c r="D29" s="8" t="s">
        <v>53</v>
      </c>
      <c r="E29" s="13">
        <v>100447</v>
      </c>
      <c r="F29" s="14">
        <v>1509.42</v>
      </c>
      <c r="G29" s="14">
        <v>1.1000000000000001</v>
      </c>
      <c r="H29" s="15"/>
      <c r="I29" s="16"/>
    </row>
    <row r="30" spans="1:9" ht="13" customHeight="1">
      <c r="A30" s="1" t="s">
        <v>84</v>
      </c>
      <c r="B30" s="11" t="s">
        <v>85</v>
      </c>
      <c r="C30" s="12" t="s">
        <v>86</v>
      </c>
      <c r="D30" s="8" t="s">
        <v>53</v>
      </c>
      <c r="E30" s="13">
        <v>295470</v>
      </c>
      <c r="F30" s="14">
        <v>1463.61</v>
      </c>
      <c r="G30" s="14">
        <v>1.07</v>
      </c>
      <c r="H30" s="15"/>
      <c r="I30" s="16"/>
    </row>
    <row r="31" spans="1:9" ht="13" customHeight="1">
      <c r="A31" s="1" t="s">
        <v>87</v>
      </c>
      <c r="B31" s="11" t="s">
        <v>88</v>
      </c>
      <c r="C31" s="12" t="s">
        <v>89</v>
      </c>
      <c r="D31" s="8" t="s">
        <v>16</v>
      </c>
      <c r="E31" s="13">
        <v>527004</v>
      </c>
      <c r="F31" s="14">
        <v>1315.14</v>
      </c>
      <c r="G31" s="14">
        <v>0.96</v>
      </c>
      <c r="H31" s="15"/>
      <c r="I31" s="16"/>
    </row>
    <row r="32" spans="1:9" ht="13" customHeight="1">
      <c r="A32" s="1" t="s">
        <v>90</v>
      </c>
      <c r="B32" s="11" t="s">
        <v>91</v>
      </c>
      <c r="C32" s="12" t="s">
        <v>92</v>
      </c>
      <c r="D32" s="8" t="s">
        <v>16</v>
      </c>
      <c r="E32" s="13">
        <v>159077</v>
      </c>
      <c r="F32" s="14">
        <v>1299.58</v>
      </c>
      <c r="G32" s="14">
        <v>0.95</v>
      </c>
      <c r="H32" s="15"/>
      <c r="I32" s="16"/>
    </row>
    <row r="33" spans="1:9" ht="13" customHeight="1">
      <c r="A33" s="1" t="s">
        <v>93</v>
      </c>
      <c r="B33" s="11" t="s">
        <v>94</v>
      </c>
      <c r="C33" s="12" t="s">
        <v>95</v>
      </c>
      <c r="D33" s="8" t="s">
        <v>29</v>
      </c>
      <c r="E33" s="13">
        <v>32359</v>
      </c>
      <c r="F33" s="14">
        <v>1281.77</v>
      </c>
      <c r="G33" s="14">
        <v>0.93</v>
      </c>
      <c r="H33" s="15"/>
      <c r="I33" s="16"/>
    </row>
    <row r="34" spans="1:9" ht="13" customHeight="1">
      <c r="A34" s="1" t="s">
        <v>96</v>
      </c>
      <c r="B34" s="11" t="s">
        <v>97</v>
      </c>
      <c r="C34" s="12" t="s">
        <v>98</v>
      </c>
      <c r="D34" s="8" t="s">
        <v>36</v>
      </c>
      <c r="E34" s="13">
        <v>269489</v>
      </c>
      <c r="F34" s="14">
        <v>1197.2</v>
      </c>
      <c r="G34" s="14">
        <v>0.87</v>
      </c>
      <c r="H34" s="15"/>
      <c r="I34" s="16"/>
    </row>
    <row r="35" spans="1:9" ht="13" customHeight="1">
      <c r="A35" s="1" t="s">
        <v>99</v>
      </c>
      <c r="B35" s="11" t="s">
        <v>100</v>
      </c>
      <c r="C35" s="12" t="s">
        <v>101</v>
      </c>
      <c r="D35" s="8" t="s">
        <v>36</v>
      </c>
      <c r="E35" s="13">
        <v>769060</v>
      </c>
      <c r="F35" s="14">
        <v>938.25</v>
      </c>
      <c r="G35" s="14">
        <v>0.68</v>
      </c>
      <c r="H35" s="15"/>
      <c r="I35" s="16"/>
    </row>
    <row r="36" spans="1:9" ht="13" customHeight="1">
      <c r="A36" s="1" t="s">
        <v>102</v>
      </c>
      <c r="B36" s="11" t="s">
        <v>103</v>
      </c>
      <c r="C36" s="12" t="s">
        <v>104</v>
      </c>
      <c r="D36" s="8" t="s">
        <v>36</v>
      </c>
      <c r="E36" s="13">
        <v>89270</v>
      </c>
      <c r="F36" s="14">
        <v>703.58</v>
      </c>
      <c r="G36" s="14">
        <v>0.51</v>
      </c>
      <c r="H36" s="15"/>
      <c r="I36" s="16"/>
    </row>
    <row r="37" spans="1:9" ht="13" customHeight="1">
      <c r="A37" s="1" t="s">
        <v>105</v>
      </c>
      <c r="B37" s="11" t="s">
        <v>106</v>
      </c>
      <c r="C37" s="12" t="s">
        <v>107</v>
      </c>
      <c r="D37" s="8" t="s">
        <v>29</v>
      </c>
      <c r="E37" s="13">
        <v>48640</v>
      </c>
      <c r="F37" s="14">
        <v>485.16</v>
      </c>
      <c r="G37" s="14">
        <v>0.35</v>
      </c>
      <c r="H37" s="15"/>
      <c r="I37" s="16"/>
    </row>
    <row r="38" spans="1:9" ht="13" customHeight="1">
      <c r="A38" s="1" t="s">
        <v>108</v>
      </c>
      <c r="B38" s="11" t="s">
        <v>109</v>
      </c>
      <c r="C38" s="12" t="s">
        <v>110</v>
      </c>
      <c r="D38" s="8" t="s">
        <v>29</v>
      </c>
      <c r="E38" s="13">
        <v>2498</v>
      </c>
      <c r="F38" s="14">
        <v>75.83</v>
      </c>
      <c r="G38" s="14">
        <v>0.06</v>
      </c>
      <c r="H38" s="15"/>
      <c r="I38" s="16"/>
    </row>
    <row r="39" spans="1:9" ht="13" customHeight="1">
      <c r="A39" s="1" t="s">
        <v>111</v>
      </c>
      <c r="B39" s="11" t="s">
        <v>112</v>
      </c>
      <c r="C39" s="12" t="s">
        <v>113</v>
      </c>
      <c r="D39" s="8" t="s">
        <v>29</v>
      </c>
      <c r="E39" s="13">
        <v>219</v>
      </c>
      <c r="F39" s="14">
        <v>3.35</v>
      </c>
      <c r="G39" s="17" t="s">
        <v>114</v>
      </c>
      <c r="H39" s="15"/>
      <c r="I39" s="16"/>
    </row>
    <row r="40" spans="1:9" ht="13" customHeight="1">
      <c r="A40" s="2"/>
      <c r="B40" s="7" t="s">
        <v>115</v>
      </c>
      <c r="C40" s="8"/>
      <c r="D40" s="8"/>
      <c r="E40" s="8"/>
      <c r="F40" s="18">
        <v>132055.32999999999</v>
      </c>
      <c r="G40" s="18">
        <v>96.21</v>
      </c>
      <c r="H40" s="19"/>
      <c r="I40" s="16"/>
    </row>
    <row r="41" spans="1:9" ht="13" customHeight="1">
      <c r="A41" s="2"/>
      <c r="B41" s="20" t="s">
        <v>116</v>
      </c>
      <c r="C41" s="21"/>
      <c r="D41" s="21"/>
      <c r="E41" s="22"/>
      <c r="F41" s="23" t="s">
        <v>117</v>
      </c>
      <c r="G41" s="23" t="s">
        <v>117</v>
      </c>
      <c r="H41" s="24" t="s">
        <v>117</v>
      </c>
      <c r="I41" s="16"/>
    </row>
    <row r="42" spans="1:9" ht="13" customHeight="1">
      <c r="A42" s="2"/>
      <c r="B42" s="25" t="s">
        <v>115</v>
      </c>
      <c r="C42" s="26"/>
      <c r="D42" s="26"/>
      <c r="E42" s="23"/>
      <c r="F42" s="23" t="s">
        <v>117</v>
      </c>
      <c r="G42" s="23" t="s">
        <v>117</v>
      </c>
      <c r="H42" s="24" t="s">
        <v>117</v>
      </c>
      <c r="I42" s="16"/>
    </row>
    <row r="43" spans="1:9" ht="13" customHeight="1">
      <c r="A43" s="2"/>
      <c r="B43" s="20" t="s">
        <v>118</v>
      </c>
      <c r="C43" s="21"/>
      <c r="D43" s="21"/>
      <c r="E43" s="27"/>
      <c r="F43" s="18">
        <v>132055.32999999999</v>
      </c>
      <c r="G43" s="18">
        <v>96.21</v>
      </c>
      <c r="H43" s="24"/>
      <c r="I43" s="16"/>
    </row>
    <row r="44" spans="1:9" ht="13" customHeight="1">
      <c r="A44" s="2"/>
      <c r="B44" s="7" t="s">
        <v>119</v>
      </c>
      <c r="C44" s="8"/>
      <c r="D44" s="8"/>
      <c r="E44" s="8"/>
      <c r="F44" s="8"/>
      <c r="G44" s="8"/>
      <c r="H44" s="9"/>
      <c r="I44" s="16"/>
    </row>
    <row r="45" spans="1:9" ht="13" customHeight="1">
      <c r="A45" s="2"/>
      <c r="B45" s="7" t="s">
        <v>120</v>
      </c>
      <c r="C45" s="10"/>
      <c r="D45" s="10"/>
      <c r="E45" s="8"/>
      <c r="F45" s="8"/>
      <c r="G45" s="8"/>
      <c r="H45" s="9"/>
      <c r="I45" s="16"/>
    </row>
    <row r="46" spans="1:9" ht="13" customHeight="1">
      <c r="A46" s="1" t="s">
        <v>121</v>
      </c>
      <c r="B46" s="11" t="s">
        <v>122</v>
      </c>
      <c r="C46" s="12"/>
      <c r="D46" s="8" t="s">
        <v>29</v>
      </c>
      <c r="E46" s="13">
        <v>108500</v>
      </c>
      <c r="F46" s="14">
        <v>1658.97</v>
      </c>
      <c r="G46" s="14">
        <v>1.21</v>
      </c>
      <c r="H46" s="15"/>
      <c r="I46" s="16"/>
    </row>
    <row r="47" spans="1:9" ht="13" customHeight="1">
      <c r="A47" s="1" t="s">
        <v>123</v>
      </c>
      <c r="B47" s="11" t="s">
        <v>124</v>
      </c>
      <c r="C47" s="12"/>
      <c r="D47" s="8" t="s">
        <v>29</v>
      </c>
      <c r="E47" s="13">
        <v>16600</v>
      </c>
      <c r="F47" s="14">
        <v>504.01</v>
      </c>
      <c r="G47" s="14">
        <v>0.37</v>
      </c>
      <c r="H47" s="15"/>
      <c r="I47" s="16"/>
    </row>
    <row r="48" spans="1:9" ht="13" customHeight="1">
      <c r="A48" s="2"/>
      <c r="B48" s="7" t="s">
        <v>115</v>
      </c>
      <c r="C48" s="8"/>
      <c r="D48" s="8"/>
      <c r="E48" s="8"/>
      <c r="F48" s="18">
        <v>2162.98</v>
      </c>
      <c r="G48" s="18">
        <v>1.58</v>
      </c>
      <c r="H48" s="19"/>
      <c r="I48" s="16"/>
    </row>
    <row r="49" spans="1:9" ht="13" customHeight="1">
      <c r="A49" s="2"/>
      <c r="B49" s="20" t="s">
        <v>118</v>
      </c>
      <c r="C49" s="21"/>
      <c r="D49" s="21"/>
      <c r="E49" s="27"/>
      <c r="F49" s="18">
        <v>2162.98</v>
      </c>
      <c r="G49" s="18">
        <v>1.58</v>
      </c>
      <c r="H49" s="24"/>
      <c r="I49" s="16"/>
    </row>
    <row r="50" spans="1:9" ht="13" customHeight="1">
      <c r="A50" s="2"/>
      <c r="B50" s="7" t="s">
        <v>125</v>
      </c>
      <c r="C50" s="8"/>
      <c r="D50" s="8"/>
      <c r="E50" s="8"/>
      <c r="F50" s="8"/>
      <c r="G50" s="8"/>
      <c r="H50" s="9"/>
      <c r="I50" s="16"/>
    </row>
    <row r="51" spans="1:9" ht="13" customHeight="1">
      <c r="A51" s="2"/>
      <c r="B51" s="7" t="s">
        <v>126</v>
      </c>
      <c r="C51" s="10"/>
      <c r="D51" s="10"/>
      <c r="E51" s="8"/>
      <c r="F51" s="8"/>
      <c r="G51" s="8"/>
      <c r="H51" s="9"/>
      <c r="I51" s="16"/>
    </row>
    <row r="52" spans="1:9" ht="13" customHeight="1">
      <c r="A52" s="1" t="s">
        <v>127</v>
      </c>
      <c r="B52" s="11" t="s">
        <v>128</v>
      </c>
      <c r="C52" s="12"/>
      <c r="D52" s="8"/>
      <c r="E52" s="13"/>
      <c r="F52" s="14">
        <v>3927.37</v>
      </c>
      <c r="G52" s="14">
        <v>2.86</v>
      </c>
      <c r="H52" s="15">
        <v>5.8358846095136765E-2</v>
      </c>
      <c r="I52" s="16"/>
    </row>
    <row r="53" spans="1:9" ht="13" customHeight="1">
      <c r="A53" s="2"/>
      <c r="B53" s="7" t="s">
        <v>115</v>
      </c>
      <c r="C53" s="8"/>
      <c r="D53" s="8"/>
      <c r="E53" s="8"/>
      <c r="F53" s="18">
        <v>3927.37</v>
      </c>
      <c r="G53" s="18">
        <v>2.86</v>
      </c>
      <c r="H53" s="19"/>
      <c r="I53" s="16"/>
    </row>
    <row r="54" spans="1:9" ht="13" customHeight="1">
      <c r="A54" s="2"/>
      <c r="B54" s="20" t="s">
        <v>118</v>
      </c>
      <c r="C54" s="21"/>
      <c r="D54" s="21"/>
      <c r="E54" s="27"/>
      <c r="F54" s="18">
        <v>3927.37</v>
      </c>
      <c r="G54" s="18">
        <v>2.86</v>
      </c>
      <c r="H54" s="24"/>
      <c r="I54" s="16"/>
    </row>
    <row r="55" spans="1:9" ht="13" customHeight="1">
      <c r="A55" s="2"/>
      <c r="B55" s="20" t="s">
        <v>129</v>
      </c>
      <c r="C55" s="21"/>
      <c r="D55" s="21"/>
      <c r="E55" s="8"/>
      <c r="F55" s="18">
        <v>-902.02</v>
      </c>
      <c r="G55" s="18">
        <v>-0.65</v>
      </c>
      <c r="H55" s="24"/>
      <c r="I55" s="16"/>
    </row>
    <row r="56" spans="1:9" ht="13" customHeight="1" thickBot="1">
      <c r="A56" s="2"/>
      <c r="B56" s="28" t="s">
        <v>130</v>
      </c>
      <c r="C56" s="29"/>
      <c r="D56" s="29"/>
      <c r="E56" s="29"/>
      <c r="F56" s="30">
        <v>137243.66</v>
      </c>
      <c r="G56" s="31">
        <v>100</v>
      </c>
      <c r="H56" s="32"/>
      <c r="I56" s="16"/>
    </row>
    <row r="57" spans="1:9" ht="13" customHeight="1">
      <c r="A57" s="2"/>
      <c r="B57" s="84"/>
      <c r="C57" s="84"/>
      <c r="D57" s="84"/>
      <c r="E57" s="84"/>
      <c r="F57" s="2"/>
      <c r="G57" s="2"/>
      <c r="H57" s="2"/>
      <c r="I57" s="16"/>
    </row>
    <row r="58" spans="1:9" ht="13" customHeight="1">
      <c r="A58" s="2"/>
      <c r="B58" s="84"/>
      <c r="C58" s="84"/>
      <c r="D58" s="84"/>
      <c r="E58" s="84"/>
      <c r="F58" s="2"/>
      <c r="G58" s="2"/>
      <c r="H58" s="2"/>
      <c r="I58" s="16"/>
    </row>
    <row r="59" spans="1:9" ht="13" customHeight="1">
      <c r="A59" s="2"/>
      <c r="B59" s="81" t="s">
        <v>131</v>
      </c>
      <c r="C59" s="81"/>
      <c r="D59" s="81"/>
      <c r="E59" s="81"/>
      <c r="F59" s="2"/>
      <c r="G59" s="2"/>
      <c r="H59" s="2"/>
      <c r="I59" s="16"/>
    </row>
    <row r="60" spans="1:9" ht="13" customHeight="1">
      <c r="A60" s="2"/>
      <c r="B60" s="82" t="s">
        <v>132</v>
      </c>
      <c r="C60" s="83"/>
      <c r="D60" s="83"/>
      <c r="E60" s="83"/>
      <c r="F60" s="2"/>
      <c r="G60" s="2"/>
      <c r="H60" s="2"/>
      <c r="I60" s="16"/>
    </row>
    <row r="61" spans="1:9" ht="13" customHeight="1">
      <c r="A61" s="2"/>
      <c r="B61" s="84" t="s">
        <v>133</v>
      </c>
      <c r="C61" s="84"/>
      <c r="D61" s="84"/>
      <c r="E61" s="84"/>
      <c r="F61" s="2"/>
      <c r="G61" s="2"/>
      <c r="H61" s="2"/>
      <c r="I61" s="16"/>
    </row>
    <row r="62" spans="1:9" ht="13" customHeight="1">
      <c r="A62" s="2"/>
      <c r="B62" s="77"/>
      <c r="C62" s="77"/>
      <c r="D62" s="77"/>
      <c r="E62" s="77"/>
      <c r="F62" s="2"/>
      <c r="G62" s="2"/>
      <c r="H62" s="2"/>
      <c r="I62" s="16"/>
    </row>
    <row r="63" spans="1:9" ht="13" customHeight="1">
      <c r="A63" s="2"/>
      <c r="B63" s="84" t="s">
        <v>134</v>
      </c>
      <c r="C63" s="84"/>
      <c r="D63" s="84"/>
      <c r="E63" s="84"/>
      <c r="F63" s="2"/>
      <c r="G63" s="2"/>
      <c r="H63" s="2"/>
      <c r="I63" s="16"/>
    </row>
    <row r="64" spans="1:9" ht="13" customHeight="1">
      <c r="A64" s="2"/>
      <c r="B64" s="77" t="s">
        <v>135</v>
      </c>
      <c r="C64" s="77"/>
      <c r="D64" s="77"/>
      <c r="E64" s="77"/>
      <c r="F64" s="2"/>
      <c r="G64" s="2"/>
      <c r="H64" s="2"/>
      <c r="I64" s="16"/>
    </row>
    <row r="65" spans="1:9" ht="13" customHeight="1">
      <c r="A65" s="2"/>
      <c r="B65" s="77" t="s">
        <v>136</v>
      </c>
      <c r="C65" s="77"/>
      <c r="D65" s="77"/>
      <c r="E65" s="77"/>
      <c r="F65" s="2"/>
      <c r="G65" s="2"/>
      <c r="H65" s="2"/>
      <c r="I65" s="16"/>
    </row>
    <row r="66" spans="1:9" ht="13" customHeight="1">
      <c r="A66" s="2"/>
      <c r="B66" s="77" t="s">
        <v>137</v>
      </c>
      <c r="C66" s="77"/>
      <c r="D66" s="77"/>
      <c r="E66" s="77"/>
      <c r="F66" s="2"/>
      <c r="G66" s="2"/>
      <c r="H66" s="2"/>
      <c r="I66" s="16"/>
    </row>
    <row r="67" spans="1:9" ht="13" customHeight="1">
      <c r="A67" s="2"/>
      <c r="B67" s="77" t="s">
        <v>138</v>
      </c>
      <c r="C67" s="77"/>
      <c r="D67" s="77"/>
      <c r="E67" s="77"/>
      <c r="F67" s="2"/>
      <c r="G67" s="2"/>
      <c r="H67" s="2"/>
      <c r="I67" s="16"/>
    </row>
    <row r="68" spans="1:9" ht="13" customHeight="1">
      <c r="A68" s="2"/>
      <c r="B68" s="77" t="s">
        <v>139</v>
      </c>
      <c r="C68" s="77"/>
      <c r="D68" s="77"/>
      <c r="E68" s="77"/>
      <c r="F68" s="2"/>
      <c r="G68" s="2"/>
      <c r="H68" s="2"/>
      <c r="I68" s="16"/>
    </row>
    <row r="69" spans="1:9">
      <c r="I69" s="16"/>
    </row>
    <row r="70" spans="1:9">
      <c r="A70" s="33" t="s">
        <v>140</v>
      </c>
      <c r="B70" s="33" t="s">
        <v>141</v>
      </c>
      <c r="I70" s="16"/>
    </row>
    <row r="71" spans="1:9" ht="43.5">
      <c r="A71" s="34"/>
      <c r="B71" s="35" t="s">
        <v>142</v>
      </c>
      <c r="C71" s="35" t="s">
        <v>143</v>
      </c>
      <c r="D71" s="35" t="s">
        <v>144</v>
      </c>
      <c r="E71" s="35" t="s">
        <v>145</v>
      </c>
      <c r="F71" s="35" t="s">
        <v>146</v>
      </c>
      <c r="G71" s="34"/>
      <c r="H71" s="34"/>
      <c r="I71" s="16"/>
    </row>
    <row r="72" spans="1:9">
      <c r="A72" s="34"/>
      <c r="B72" s="35" t="s">
        <v>109</v>
      </c>
      <c r="C72" s="36" t="s">
        <v>147</v>
      </c>
      <c r="D72" s="37">
        <v>2939.53</v>
      </c>
      <c r="E72" s="38">
        <v>3036.2</v>
      </c>
      <c r="F72" s="37">
        <v>157.30000000000001</v>
      </c>
      <c r="G72" s="34"/>
      <c r="H72" s="34"/>
      <c r="I72" s="16"/>
    </row>
    <row r="73" spans="1:9">
      <c r="A73" s="34"/>
      <c r="B73" s="36" t="s">
        <v>112</v>
      </c>
      <c r="C73" s="36" t="s">
        <v>147</v>
      </c>
      <c r="D73" s="39">
        <v>1494.93</v>
      </c>
      <c r="E73" s="40">
        <v>1529</v>
      </c>
      <c r="F73" s="37">
        <v>446.03</v>
      </c>
      <c r="G73" s="34"/>
      <c r="H73" s="34"/>
      <c r="I73" s="16"/>
    </row>
    <row r="74" spans="1:9">
      <c r="A74" s="41"/>
      <c r="B74" s="78"/>
      <c r="C74" s="79"/>
      <c r="D74" s="79"/>
      <c r="E74" s="79"/>
      <c r="F74" s="80"/>
      <c r="H74" s="41"/>
      <c r="I74" s="16"/>
    </row>
    <row r="75" spans="1:9">
      <c r="B75" s="42" t="s">
        <v>148</v>
      </c>
      <c r="C75" s="43"/>
      <c r="D75" s="43"/>
      <c r="E75" s="43"/>
      <c r="F75" s="44"/>
      <c r="H75" s="45"/>
      <c r="I75" s="16"/>
    </row>
    <row r="76" spans="1:9">
      <c r="B76" s="65" t="s">
        <v>149</v>
      </c>
      <c r="C76" s="66"/>
      <c r="D76" s="66"/>
      <c r="E76" s="66"/>
      <c r="F76" s="67"/>
      <c r="H76" s="45"/>
      <c r="I76" s="16"/>
    </row>
    <row r="77" spans="1:9">
      <c r="B77" s="46" t="s">
        <v>150</v>
      </c>
      <c r="F77" s="47"/>
      <c r="I77" s="16"/>
    </row>
    <row r="78" spans="1:9">
      <c r="B78" s="46" t="s">
        <v>151</v>
      </c>
      <c r="F78" s="47"/>
      <c r="I78" s="16"/>
    </row>
    <row r="79" spans="1:9">
      <c r="B79" s="46" t="s">
        <v>152</v>
      </c>
      <c r="F79" s="47"/>
      <c r="I79" s="16"/>
    </row>
    <row r="80" spans="1:9">
      <c r="B80" s="46" t="s">
        <v>153</v>
      </c>
      <c r="C80" s="46"/>
      <c r="F80" s="47"/>
      <c r="I80" s="16"/>
    </row>
    <row r="81" spans="1:9">
      <c r="B81" s="48" t="s">
        <v>154</v>
      </c>
      <c r="C81" s="49"/>
      <c r="D81" s="49"/>
      <c r="E81" s="49"/>
      <c r="F81" s="50"/>
      <c r="G81" s="51"/>
      <c r="H81" s="52"/>
      <c r="I81" s="16"/>
    </row>
    <row r="82" spans="1:9">
      <c r="I82" s="16"/>
    </row>
    <row r="83" spans="1:9">
      <c r="A83" s="33" t="s">
        <v>155</v>
      </c>
      <c r="B83" s="33" t="s">
        <v>156</v>
      </c>
      <c r="I83" s="16"/>
    </row>
    <row r="84" spans="1:9" ht="43.5">
      <c r="A84" s="53"/>
      <c r="B84" s="35" t="s">
        <v>142</v>
      </c>
      <c r="C84" s="35" t="s">
        <v>143</v>
      </c>
      <c r="D84" s="35" t="s">
        <v>144</v>
      </c>
      <c r="E84" s="35" t="s">
        <v>145</v>
      </c>
      <c r="F84" s="35" t="s">
        <v>146</v>
      </c>
      <c r="G84" s="53"/>
      <c r="H84" s="53"/>
      <c r="I84" s="16"/>
    </row>
    <row r="85" spans="1:9">
      <c r="B85" s="62" t="s">
        <v>117</v>
      </c>
      <c r="C85" s="63"/>
      <c r="D85" s="63"/>
      <c r="E85" s="63"/>
      <c r="F85" s="64"/>
      <c r="I85" s="16"/>
    </row>
    <row r="86" spans="1:9">
      <c r="B86" s="42" t="str">
        <f>+"Total exposure due to futures (non hedging positions) as a %age of net assets : Nil"</f>
        <v>Total exposure due to futures (non hedging positions) as a %age of net assets : Nil</v>
      </c>
      <c r="C86" s="43"/>
      <c r="D86" s="43"/>
      <c r="E86" s="43"/>
      <c r="F86" s="44"/>
      <c r="I86" s="16"/>
    </row>
    <row r="87" spans="1:9">
      <c r="B87" s="65" t="s">
        <v>157</v>
      </c>
      <c r="C87" s="66"/>
      <c r="D87" s="66"/>
      <c r="E87" s="66"/>
      <c r="F87" s="67"/>
      <c r="I87" s="16"/>
    </row>
    <row r="88" spans="1:9">
      <c r="B88" s="46" t="s">
        <v>158</v>
      </c>
      <c r="F88" s="47"/>
      <c r="I88" s="16"/>
    </row>
    <row r="89" spans="1:9">
      <c r="B89" s="46" t="s">
        <v>159</v>
      </c>
      <c r="F89" s="47"/>
      <c r="I89" s="16"/>
    </row>
    <row r="90" spans="1:9">
      <c r="B90" s="46" t="s">
        <v>160</v>
      </c>
      <c r="F90" s="47"/>
      <c r="I90" s="16"/>
    </row>
    <row r="91" spans="1:9">
      <c r="B91" s="46" t="s">
        <v>161</v>
      </c>
      <c r="F91" s="47"/>
      <c r="I91" s="16"/>
    </row>
    <row r="92" spans="1:9">
      <c r="B92" s="46" t="s">
        <v>162</v>
      </c>
      <c r="C92" s="49"/>
      <c r="D92" s="49"/>
      <c r="E92" s="49"/>
      <c r="F92" s="50"/>
      <c r="I92" s="16"/>
    </row>
    <row r="93" spans="1:9">
      <c r="B93" s="54"/>
      <c r="I93" s="16"/>
    </row>
    <row r="94" spans="1:9">
      <c r="A94" s="33" t="s">
        <v>163</v>
      </c>
      <c r="B94" s="33" t="s">
        <v>164</v>
      </c>
      <c r="C94" s="33"/>
      <c r="D94" s="33"/>
      <c r="E94" s="33"/>
      <c r="F94" s="33"/>
      <c r="G94" s="33"/>
      <c r="H94" s="33"/>
      <c r="I94" s="16"/>
    </row>
    <row r="95" spans="1:9" ht="29">
      <c r="A95" s="53"/>
      <c r="B95" s="55" t="s">
        <v>142</v>
      </c>
      <c r="C95" s="55" t="s">
        <v>165</v>
      </c>
      <c r="D95" s="55" t="s">
        <v>166</v>
      </c>
      <c r="E95" s="55" t="s">
        <v>167</v>
      </c>
      <c r="F95" s="53"/>
      <c r="G95" s="53"/>
      <c r="H95" s="53"/>
      <c r="I95" s="16"/>
    </row>
    <row r="96" spans="1:9">
      <c r="B96" s="62" t="s">
        <v>117</v>
      </c>
      <c r="C96" s="63"/>
      <c r="D96" s="63"/>
      <c r="E96" s="64"/>
      <c r="I96" s="16"/>
    </row>
    <row r="97" spans="1:9">
      <c r="B97" s="61" t="s">
        <v>168</v>
      </c>
      <c r="C97" s="61"/>
      <c r="D97" s="61"/>
      <c r="E97" s="61"/>
      <c r="I97" s="16"/>
    </row>
    <row r="98" spans="1:9">
      <c r="B98" s="68" t="s">
        <v>169</v>
      </c>
      <c r="C98" s="69"/>
      <c r="D98" s="69"/>
      <c r="E98" s="70"/>
      <c r="I98" s="16"/>
    </row>
    <row r="99" spans="1:9">
      <c r="B99" s="71"/>
      <c r="C99" s="72"/>
      <c r="D99" s="72"/>
      <c r="E99" s="73"/>
      <c r="I99" s="16"/>
    </row>
    <row r="100" spans="1:9">
      <c r="B100" s="71"/>
      <c r="C100" s="72"/>
      <c r="D100" s="72"/>
      <c r="E100" s="73"/>
      <c r="I100" s="16"/>
    </row>
    <row r="101" spans="1:9">
      <c r="B101" s="71"/>
      <c r="C101" s="72"/>
      <c r="D101" s="72"/>
      <c r="E101" s="73"/>
      <c r="I101" s="16"/>
    </row>
    <row r="102" spans="1:9">
      <c r="B102" s="74"/>
      <c r="C102" s="75"/>
      <c r="D102" s="75"/>
      <c r="E102" s="76"/>
      <c r="I102" s="16"/>
    </row>
    <row r="103" spans="1:9">
      <c r="B103" s="56"/>
      <c r="C103" s="56"/>
      <c r="D103" s="56"/>
      <c r="E103" s="56"/>
      <c r="I103" s="16"/>
    </row>
    <row r="104" spans="1:9">
      <c r="A104" s="33" t="s">
        <v>170</v>
      </c>
      <c r="B104" s="33" t="s">
        <v>171</v>
      </c>
      <c r="C104" s="33"/>
      <c r="D104" s="33"/>
      <c r="E104" s="33"/>
      <c r="F104" s="33"/>
      <c r="G104" s="33"/>
      <c r="H104" s="33"/>
      <c r="I104" s="16"/>
    </row>
    <row r="105" spans="1:9" ht="43.5">
      <c r="A105" s="53"/>
      <c r="B105" s="55" t="s">
        <v>142</v>
      </c>
      <c r="C105" s="55" t="s">
        <v>172</v>
      </c>
      <c r="D105" s="55" t="s">
        <v>173</v>
      </c>
      <c r="E105" s="55" t="s">
        <v>166</v>
      </c>
      <c r="F105" s="55" t="s">
        <v>174</v>
      </c>
      <c r="G105" s="53"/>
      <c r="H105" s="53"/>
      <c r="I105" s="16"/>
    </row>
    <row r="106" spans="1:9">
      <c r="B106" s="62" t="s">
        <v>117</v>
      </c>
      <c r="C106" s="63"/>
      <c r="D106" s="63"/>
      <c r="E106" s="63"/>
      <c r="F106" s="64"/>
      <c r="I106" s="16"/>
    </row>
    <row r="107" spans="1:9">
      <c r="B107" s="57" t="s">
        <v>175</v>
      </c>
      <c r="C107" s="58"/>
      <c r="D107" s="58"/>
      <c r="E107" s="58"/>
      <c r="F107" s="59"/>
      <c r="I107" s="16"/>
    </row>
    <row r="108" spans="1:9">
      <c r="B108" s="60" t="s">
        <v>176</v>
      </c>
      <c r="C108" s="60"/>
      <c r="D108" s="60"/>
      <c r="E108" s="60"/>
      <c r="F108" s="61"/>
      <c r="I108" s="16"/>
    </row>
    <row r="109" spans="1:9">
      <c r="B109" s="60"/>
      <c r="C109" s="60"/>
      <c r="D109" s="60"/>
      <c r="E109" s="60"/>
      <c r="F109" s="61"/>
      <c r="I109" s="16"/>
    </row>
    <row r="110" spans="1:9">
      <c r="B110" s="60"/>
      <c r="C110" s="60"/>
      <c r="D110" s="60"/>
      <c r="E110" s="60"/>
      <c r="F110" s="61"/>
      <c r="I110" s="16"/>
    </row>
    <row r="111" spans="1:9">
      <c r="B111" s="60"/>
      <c r="C111" s="60"/>
      <c r="D111" s="60"/>
      <c r="E111" s="60"/>
      <c r="F111" s="61"/>
      <c r="I111" s="16"/>
    </row>
    <row r="112" spans="1:9">
      <c r="B112" s="60"/>
      <c r="C112" s="60"/>
      <c r="D112" s="60"/>
      <c r="E112" s="60"/>
      <c r="F112" s="61"/>
      <c r="I112" s="16"/>
    </row>
    <row r="113" spans="1:9">
      <c r="I113" s="16"/>
    </row>
    <row r="114" spans="1:9">
      <c r="A114" s="33" t="s">
        <v>177</v>
      </c>
      <c r="B114" s="33" t="s">
        <v>178</v>
      </c>
      <c r="C114" s="33"/>
      <c r="D114" s="33"/>
      <c r="E114" s="33"/>
      <c r="F114" s="33"/>
      <c r="G114" s="33"/>
      <c r="H114" s="33"/>
      <c r="I114" s="16"/>
    </row>
    <row r="115" spans="1:9">
      <c r="I115" s="16"/>
    </row>
    <row r="116" spans="1:9">
      <c r="I116" s="16"/>
    </row>
    <row r="117" spans="1:9">
      <c r="F117" s="33" t="s">
        <v>179</v>
      </c>
    </row>
    <row r="118" spans="1:9">
      <c r="B118" s="33" t="s">
        <v>180</v>
      </c>
      <c r="F118" s="33" t="s">
        <v>181</v>
      </c>
    </row>
  </sheetData>
  <mergeCells count="26">
    <mergeCell ref="B58:E58"/>
    <mergeCell ref="B1:H1"/>
    <mergeCell ref="B2:H2"/>
    <mergeCell ref="B3:H3"/>
    <mergeCell ref="B4:H4"/>
    <mergeCell ref="B57:E57"/>
    <mergeCell ref="B76:F76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74:F74"/>
    <mergeCell ref="B107:F107"/>
    <mergeCell ref="B108:F112"/>
    <mergeCell ref="B85:F85"/>
    <mergeCell ref="B87:F87"/>
    <mergeCell ref="B96:E96"/>
    <mergeCell ref="B97:E97"/>
    <mergeCell ref="B98:E102"/>
    <mergeCell ref="B106:F106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788E2-F24F-4EEA-A4F4-DCF0529C1FEB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84" t="s">
        <v>193</v>
      </c>
      <c r="B1" s="84"/>
      <c r="C1" s="84"/>
      <c r="D1" s="9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89" t="s">
        <v>192</v>
      </c>
      <c r="B3" s="89"/>
      <c r="C3" s="2"/>
      <c r="D3" s="2"/>
      <c r="E3" s="89" t="s">
        <v>191</v>
      </c>
      <c r="F3" s="89"/>
    </row>
    <row r="4" spans="1:6" ht="13" customHeight="1">
      <c r="A4" s="88" t="s">
        <v>190</v>
      </c>
      <c r="B4" s="88" t="s">
        <v>9</v>
      </c>
      <c r="C4" s="2"/>
      <c r="D4" s="2"/>
      <c r="E4" s="88" t="s">
        <v>189</v>
      </c>
      <c r="F4" s="88" t="s">
        <v>188</v>
      </c>
    </row>
    <row r="5" spans="1:6" ht="13" customHeight="1">
      <c r="A5" s="21" t="s">
        <v>14</v>
      </c>
      <c r="B5" s="86">
        <v>0.2079</v>
      </c>
      <c r="C5" s="2"/>
      <c r="D5" s="2"/>
      <c r="E5" s="21" t="s">
        <v>187</v>
      </c>
      <c r="F5" s="86">
        <v>0.96220000000000006</v>
      </c>
    </row>
    <row r="6" spans="1:6" ht="13" customHeight="1">
      <c r="A6" s="21" t="s">
        <v>18</v>
      </c>
      <c r="B6" s="86">
        <v>0.1961</v>
      </c>
      <c r="C6" s="2"/>
      <c r="D6" s="2"/>
      <c r="E6" s="21" t="s">
        <v>186</v>
      </c>
      <c r="F6" s="86">
        <v>2.86E-2</v>
      </c>
    </row>
    <row r="7" spans="1:6" ht="13" customHeight="1">
      <c r="A7" s="21" t="s">
        <v>21</v>
      </c>
      <c r="B7" s="86">
        <v>5.6099999999999997E-2</v>
      </c>
      <c r="C7" s="2"/>
      <c r="D7" s="2"/>
      <c r="E7" s="21" t="s">
        <v>185</v>
      </c>
      <c r="F7" s="86">
        <v>9.1999999999999998E-3</v>
      </c>
    </row>
    <row r="8" spans="1:6" ht="13" customHeight="1">
      <c r="A8" s="21" t="s">
        <v>24</v>
      </c>
      <c r="B8" s="86">
        <v>4.9599999999999998E-2</v>
      </c>
      <c r="C8" s="2"/>
      <c r="D8" s="2"/>
      <c r="E8" s="88" t="s">
        <v>184</v>
      </c>
      <c r="F8" s="87">
        <v>1</v>
      </c>
    </row>
    <row r="9" spans="1:6" ht="13" customHeight="1">
      <c r="A9" s="21" t="s">
        <v>27</v>
      </c>
      <c r="B9" s="86">
        <v>4.1099999999999998E-2</v>
      </c>
      <c r="C9" s="2"/>
      <c r="D9" s="2"/>
      <c r="E9" s="2"/>
      <c r="F9" s="2"/>
    </row>
    <row r="10" spans="1:6" ht="13" customHeight="1">
      <c r="A10" s="21" t="s">
        <v>31</v>
      </c>
      <c r="B10" s="86">
        <v>3.15E-2</v>
      </c>
      <c r="C10" s="2"/>
      <c r="D10" s="2"/>
      <c r="E10" s="2"/>
      <c r="F10" s="2"/>
    </row>
    <row r="11" spans="1:6" ht="13" customHeight="1">
      <c r="A11" s="21" t="s">
        <v>183</v>
      </c>
      <c r="B11" s="86">
        <v>3.1300000000000001E-2</v>
      </c>
      <c r="C11" s="2"/>
      <c r="D11" s="2"/>
      <c r="E11" s="2"/>
      <c r="F11" s="2"/>
    </row>
    <row r="12" spans="1:6" ht="13" customHeight="1">
      <c r="A12" s="21" t="s">
        <v>182</v>
      </c>
      <c r="B12" s="86">
        <v>2.86E-2</v>
      </c>
      <c r="C12" s="2"/>
      <c r="D12" s="2"/>
      <c r="E12" s="2"/>
      <c r="F12" s="2"/>
    </row>
    <row r="13" spans="1:6" ht="13" customHeight="1">
      <c r="A13" s="21" t="s">
        <v>38</v>
      </c>
      <c r="B13" s="86">
        <v>2.7400000000000001E-2</v>
      </c>
      <c r="C13" s="2"/>
      <c r="D13" s="2"/>
      <c r="E13" s="2"/>
      <c r="F13" s="2"/>
    </row>
    <row r="14" spans="1:6" ht="13" customHeight="1">
      <c r="A14" s="21" t="s">
        <v>41</v>
      </c>
      <c r="B14" s="86">
        <v>2.6200000000000001E-2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JR_PAGE_ANCHOR_0_20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2025-06-11T04:52:52Z</dcterms:created>
  <dcterms:modified xsi:type="dcterms:W3CDTF">2025-06-11T05:25:42Z</dcterms:modified>
</cp:coreProperties>
</file>