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drawings/drawing17.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20.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27.xml" ContentType="application/vnd.openxmlformats-officedocument.drawing+xml"/>
  <Override PartName="/xl/charts/chart34.xml" ContentType="application/vnd.openxmlformats-officedocument.drawingml.chart+xml"/>
  <Override PartName="/xl/drawings/drawing28.xml" ContentType="application/vnd.openxmlformats-officedocument.drawing+xml"/>
  <Override PartName="/xl/charts/chart35.xml" ContentType="application/vnd.openxmlformats-officedocument.drawingml.chart+xml"/>
  <Override PartName="/xl/drawings/drawing29.xml" ContentType="application/vnd.openxmlformats-officedocument.drawing+xml"/>
  <Override PartName="/xl/charts/chart36.xml" ContentType="application/vnd.openxmlformats-officedocument.drawingml.chart+xml"/>
  <Override PartName="/xl/drawings/drawing30.xml" ContentType="application/vnd.openxmlformats-officedocument.drawing+xml"/>
  <Override PartName="/xl/charts/chart3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1.xml" ContentType="application/vnd.openxmlformats-officedocument.drawing+xml"/>
  <Override PartName="/xl/charts/chart38.xml" ContentType="application/vnd.openxmlformats-officedocument.drawingml.chart+xml"/>
  <Override PartName="/xl/drawings/drawing32.xml" ContentType="application/vnd.openxmlformats-officedocument.drawing+xml"/>
  <Override PartName="/xl/charts/chart39.xml" ContentType="application/vnd.openxmlformats-officedocument.drawingml.chart+xml"/>
  <Override PartName="/xl/drawings/drawing33.xml" ContentType="application/vnd.openxmlformats-officedocument.drawing+xml"/>
  <Override PartName="/xl/charts/chart40.xml" ContentType="application/vnd.openxmlformats-officedocument.drawingml.chart+xml"/>
  <Override PartName="/xl/drawings/drawing34.xml" ContentType="application/vnd.openxmlformats-officedocument.drawing+xml"/>
  <Override PartName="/xl/charts/chart41.xml" ContentType="application/vnd.openxmlformats-officedocument.drawingml.chart+xml"/>
  <Override PartName="/xl/drawings/drawing35.xml" ContentType="application/vnd.openxmlformats-officedocument.drawing+xml"/>
  <Override PartName="/xl/charts/chart42.xml" ContentType="application/vnd.openxmlformats-officedocument.drawingml.chart+xml"/>
  <Override PartName="/xl/drawings/drawing36.xml" ContentType="application/vnd.openxmlformats-officedocument.drawing+xml"/>
  <Override PartName="/xl/charts/chart43.xml" ContentType="application/vnd.openxmlformats-officedocument.drawingml.chart+xml"/>
  <Override PartName="/xl/drawings/drawing37.xml" ContentType="application/vnd.openxmlformats-officedocument.drawing+xml"/>
  <Override PartName="/xl/charts/chart44.xml" ContentType="application/vnd.openxmlformats-officedocument.drawingml.chart+xml"/>
  <Override PartName="/xl/drawings/drawing38.xml" ContentType="application/vnd.openxmlformats-officedocument.drawing+xml"/>
  <Override PartName="/xl/charts/chart45.xml" ContentType="application/vnd.openxmlformats-officedocument.drawingml.chart+xml"/>
  <Override PartName="/xl/drawings/drawing39.xml" ContentType="application/vnd.openxmlformats-officedocument.drawing+xml"/>
  <Override PartName="/xl/charts/chart46.xml" ContentType="application/vnd.openxmlformats-officedocument.drawingml.chart+xml"/>
  <Override PartName="/xl/drawings/drawing40.xml" ContentType="application/vnd.openxmlformats-officedocument.drawing+xml"/>
  <Override PartName="/xl/charts/chart47.xml" ContentType="application/vnd.openxmlformats-officedocument.drawingml.chart+xml"/>
  <Override PartName="/xl/drawings/drawing41.xml" ContentType="application/vnd.openxmlformats-officedocument.drawing+xml"/>
  <Override PartName="/xl/charts/chart48.xml" ContentType="application/vnd.openxmlformats-officedocument.drawingml.chart+xml"/>
  <Override PartName="/xl/drawings/drawing42.xml" ContentType="application/vnd.openxmlformats-officedocument.drawing+xml"/>
  <Override PartName="/xl/charts/chart49.xml" ContentType="application/vnd.openxmlformats-officedocument.drawingml.chart+xml"/>
  <Override PartName="/xl/drawings/drawing43.xml" ContentType="application/vnd.openxmlformats-officedocument.drawing+xml"/>
  <Override PartName="/xl/charts/chart50.xml" ContentType="application/vnd.openxmlformats-officedocument.drawingml.chart+xml"/>
  <Override PartName="/xl/drawings/drawing44.xml" ContentType="application/vnd.openxmlformats-officedocument.drawing+xml"/>
  <Override PartName="/xl/charts/chart51.xml" ContentType="application/vnd.openxmlformats-officedocument.drawingml.chart+xml"/>
  <Override PartName="/xl/drawings/drawing45.xml" ContentType="application/vnd.openxmlformats-officedocument.drawing+xml"/>
  <Override PartName="/xl/charts/chart5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5\June 2025\"/>
    </mc:Choice>
  </mc:AlternateContent>
  <xr:revisionPtr revIDLastSave="0" documentId="13_ncr:1_{4C685178-5FE5-439E-84D5-52C8E1A3B57A}" xr6:coauthVersionLast="36" xr6:coauthVersionMax="47" xr10:uidLastSave="{00000000-0000-0000-0000-000000000000}"/>
  <bookViews>
    <workbookView xWindow="0" yWindow="0" windowWidth="19200" windowHeight="6810" tabRatio="875"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 BUSINESS CYCLE" sheetId="54" r:id="rId14"/>
    <sheet name="BANDHAN-ELSS" sheetId="13" r:id="rId15"/>
    <sheet name="BANDHAN-AF" sheetId="27" r:id="rId16"/>
    <sheet name="BANDHAN BAF" sheetId="5" r:id="rId17"/>
    <sheet name="BANDHAN-ESF" sheetId="25" r:id="rId18"/>
    <sheet name="BANDHAN CHF" sheetId="18" r:id="rId19"/>
    <sheet name="BANDHAN-AHF" sheetId="26" r:id="rId20"/>
    <sheet name="BANDHAN RF" sheetId="41" r:id="rId21"/>
    <sheet name="BANDHAN MAF" sheetId="45" r:id="rId22"/>
    <sheet name="BANDHAN AAF-AP" sheetId="19" r:id="rId23"/>
    <sheet name="BANDHANAAF-MP" sheetId="20" r:id="rId24"/>
    <sheet name="BANDHANAAF-CP" sheetId="21" r:id="rId25"/>
    <sheet name="BANDHAN IPAFOFs" sheetId="63" r:id="rId26"/>
    <sheet name="BANDHAN-NIFTY 50 Index" sheetId="10" r:id="rId27"/>
    <sheet name="BANDHAN BSE SENSEX ETF" sheetId="16" r:id="rId28"/>
    <sheet name="BANDHAN- Nifty 50 ETF" sheetId="17" r:id="rId29"/>
    <sheet name="BANDHAN-Nifty 100 Index" sheetId="31" r:id="rId30"/>
    <sheet name="BANDHAN-Nifty200 Mom30 Index" sheetId="34" r:id="rId31"/>
    <sheet name="BANDHAN NIF100LV30" sheetId="35" r:id="rId32"/>
    <sheet name="BANDHAN NIFTY IT INDEX" sheetId="40" r:id="rId33"/>
    <sheet name="Bandhan Nifty Alpha 50 Index" sheetId="42" r:id="rId34"/>
    <sheet name="Bandhan Nifty Smallcap 250 " sheetId="44" r:id="rId35"/>
    <sheet name="Bandhan Nifty Total Market " sheetId="47" r:id="rId36"/>
    <sheet name="Bandhan Nifty Bank Index Fund" sheetId="49" r:id="rId37"/>
    <sheet name="Bandhan BSE Healthcare Index " sheetId="52" r:id="rId38"/>
    <sheet name="Bandhan Nifty Midcap 150 Index " sheetId="53" r:id="rId39"/>
    <sheet name="Bandhan Nifty 500 Value 50 " sheetId="56" r:id="rId40"/>
    <sheet name="Bandhan Nifty 500 Momentum 50 " sheetId="57" r:id="rId41"/>
    <sheet name="Bandhan Nifty 200 Quality 30 " sheetId="58" r:id="rId42"/>
    <sheet name="Bandhan Nifty Alpha Low Vol 30" sheetId="61" r:id="rId43"/>
    <sheet name="Bandhan Nifty Next 50 Index" sheetId="62" r:id="rId44"/>
    <sheet name="BANDHAN US TB 0-1yr FOF" sheetId="60" r:id="rId45"/>
  </sheets>
  <definedNames>
    <definedName name="_xlnm._FilterDatabase" localSheetId="22" hidden="1">'BANDHAN AAF-AP'!$C$12:$D$15</definedName>
    <definedName name="_xlnm._FilterDatabase" localSheetId="16" hidden="1">'BANDHAN BAF'!$I$48:$J$49</definedName>
    <definedName name="JR_PAGE_ANCHOR_0_24" localSheetId="42">#REF!</definedName>
    <definedName name="JR_PAGE_ANCHOR_0_24" localSheetId="43">#REF!</definedName>
    <definedName name="JR_PAGE_ANCHOR_0_24" localSheetId="44">#REF!</definedName>
    <definedName name="JR_PAGE_ANCHOR_0_24">#REF!</definedName>
    <definedName name="JR_PAGE_ANCHOR_0_25" localSheetId="42">#REF!</definedName>
    <definedName name="JR_PAGE_ANCHOR_0_25" localSheetId="43">#REF!</definedName>
    <definedName name="JR_PAGE_ANCHOR_0_25" localSheetId="44">#REF!</definedName>
    <definedName name="JR_PAGE_ANCHOR_0_25">#REF!</definedName>
    <definedName name="JR_PAGE_ANCHOR_0_26" localSheetId="42">#REF!</definedName>
    <definedName name="JR_PAGE_ANCHOR_0_26" localSheetId="43">#REF!</definedName>
    <definedName name="JR_PAGE_ANCHOR_0_26">#REF!</definedName>
    <definedName name="JR_PAGE_ANCHOR_0_27" localSheetId="42">#REF!</definedName>
    <definedName name="JR_PAGE_ANCHOR_0_27" localSheetId="43">#REF!</definedName>
    <definedName name="JR_PAGE_ANCHOR_0_27">#REF!</definedName>
    <definedName name="JR_PAGE_ANCHOR_0_28" localSheetId="42">#REF!</definedName>
    <definedName name="JR_PAGE_ANCHOR_0_28" localSheetId="43">#REF!</definedName>
    <definedName name="JR_PAGE_ANCHOR_0_28">#REF!</definedName>
    <definedName name="_xlnm.Print_Area" localSheetId="15">'BANDHAN-AF'!$C$5:$E$13</definedName>
  </definedNames>
  <calcPr calcId="191029"/>
</workbook>
</file>

<file path=xl/calcChain.xml><?xml version="1.0" encoding="utf-8"?>
<calcChain xmlns="http://schemas.openxmlformats.org/spreadsheetml/2006/main">
  <c r="K15" i="26" l="1"/>
  <c r="H9" i="26"/>
  <c r="E31" i="27"/>
  <c r="K9" i="63" l="1"/>
  <c r="K10" i="63"/>
  <c r="K11" i="63"/>
  <c r="J10" i="20"/>
  <c r="E19" i="18" l="1"/>
  <c r="H9" i="18" l="1"/>
  <c r="E23" i="25"/>
  <c r="E24" i="62" l="1"/>
  <c r="E24" i="61" l="1"/>
  <c r="D15" i="60" l="1"/>
  <c r="J10" i="60"/>
  <c r="J9" i="60"/>
  <c r="J8" i="60"/>
  <c r="K13" i="26" l="1"/>
  <c r="K14" i="26"/>
  <c r="K12" i="26"/>
  <c r="E51" i="25"/>
  <c r="E20" i="49" l="1"/>
  <c r="E24" i="58"/>
  <c r="E23" i="5" l="1"/>
  <c r="E48" i="5" s="1"/>
  <c r="K18" i="25" l="1"/>
  <c r="E24" i="57" l="1"/>
  <c r="E24" i="56"/>
  <c r="K17" i="25"/>
  <c r="E24" i="54" l="1"/>
  <c r="E24" i="53" l="1"/>
  <c r="E24" i="52"/>
  <c r="K16" i="25" l="1"/>
  <c r="K15" i="25"/>
  <c r="K14" i="25"/>
  <c r="K12" i="25"/>
  <c r="K10" i="25"/>
  <c r="H8" i="26" l="1"/>
  <c r="E24" i="47" l="1"/>
  <c r="K9" i="26"/>
  <c r="H8" i="18"/>
  <c r="E24" i="46" l="1"/>
  <c r="K14" i="18" l="1"/>
  <c r="E42" i="45" l="1"/>
  <c r="E24" i="44" l="1"/>
  <c r="E24" i="42" l="1"/>
  <c r="E35" i="41" l="1"/>
  <c r="E19" i="40" l="1"/>
  <c r="J11" i="19" l="1"/>
  <c r="D11" i="19" l="1"/>
  <c r="E24" i="39"/>
  <c r="D15" i="29" l="1"/>
  <c r="D11" i="21" l="1"/>
  <c r="E24" i="37" l="1"/>
  <c r="E24" i="35" l="1"/>
  <c r="E24" i="34" l="1"/>
  <c r="E24" i="33"/>
  <c r="E24" i="31" l="1"/>
  <c r="K9" i="18" l="1"/>
  <c r="D18" i="21" l="1"/>
  <c r="E24" i="30"/>
  <c r="D16" i="19" l="1"/>
  <c r="J10" i="29"/>
  <c r="J9" i="29"/>
  <c r="K12" i="18" l="1"/>
  <c r="E24" i="12" l="1"/>
  <c r="K9" i="25" l="1"/>
  <c r="S8" i="27"/>
  <c r="S9" i="27" s="1"/>
  <c r="E24" i="8"/>
  <c r="J8" i="29" l="1"/>
  <c r="I9" i="18" l="1"/>
  <c r="I10" i="18"/>
  <c r="K11" i="18" l="1"/>
  <c r="E24" i="28" l="1"/>
  <c r="E45" i="18" l="1"/>
  <c r="K10" i="18" l="1"/>
  <c r="E24" i="26"/>
  <c r="E51" i="26" s="1"/>
  <c r="I10" i="26"/>
  <c r="I9" i="26"/>
  <c r="I8" i="26"/>
  <c r="K10" i="26" l="1"/>
  <c r="J10" i="21"/>
  <c r="J9" i="21"/>
  <c r="D17" i="20"/>
  <c r="J9" i="20" s="1"/>
  <c r="D11" i="20"/>
  <c r="J8" i="20" s="1"/>
  <c r="J8" i="21" l="1"/>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<sst xmlns="http://schemas.openxmlformats.org/spreadsheetml/2006/main" count="2783" uniqueCount="445">
  <si>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</si>
  <si>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</si>
  <si>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</si>
  <si>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</si>
  <si>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</si>
  <si>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</si>
  <si>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</si>
  <si>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</si>
  <si>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</si>
  <si>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</si>
  <si>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</si>
  <si>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</si>
  <si>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</si>
  <si>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</si>
  <si>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</si>
  <si>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</si>
  <si>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</si>
  <si>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</si>
  <si>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</si>
  <si>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</si>
  <si>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</si>
  <si>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</si>
  <si>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</si>
  <si>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</si>
  <si>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</si>
  <si>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</si>
  <si>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</si>
  <si>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</si>
  <si>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</si>
  <si>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</si>
  <si>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</si>
  <si>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</si>
  <si>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</si>
  <si>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</si>
  <si>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</si>
  <si>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</si>
  <si>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</si>
  <si>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</si>
  <si>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</si>
  <si>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</si>
  <si>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</si>
  <si>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</si>
  <si>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</si>
  <si>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</si>
  <si>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</si>
  <si>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</si>
  <si>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</si>
  <si>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</si>
  <si>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</si>
  <si>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</si>
  <si>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</si>
  <si>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</si>
  <si>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</si>
  <si>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</si>
  <si>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</si>
  <si>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</si>
  <si>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</si>
  <si>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</si>
  <si>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</si>
  <si>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</si>
  <si>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</si>
  <si>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</si>
  <si>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</si>
  <si>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</si>
  <si>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</si>
  <si>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</si>
  <si>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</si>
  <si>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</si>
  <si>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</si>
  <si>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</si>
  <si>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Bharti Airtel Limited</t>
  </si>
  <si>
    <t>6.79% GOI (MD 15/05/2027)</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</si>
  <si>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</si>
  <si>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</si>
  <si>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</si>
  <si>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</si>
  <si>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</si>
  <si>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</si>
  <si>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</si>
  <si>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</si>
  <si>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</si>
  <si>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</si>
  <si>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</si>
  <si>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</si>
  <si>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</si>
  <si>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</si>
  <si>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</si>
  <si>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</si>
  <si>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</si>
  <si>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</si>
  <si>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</si>
  <si>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</si>
  <si>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</si>
  <si>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</si>
  <si>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</si>
  <si>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</si>
  <si>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 xml:space="preserve">Net Equity </t>
  </si>
  <si>
    <t>Average Maturity Years</t>
  </si>
  <si>
    <t>Clearing Corporation of India Ltd</t>
  </si>
  <si>
    <t>TRI Party Repo Total</t>
  </si>
  <si>
    <t>8.28% GOI (M/D 21/09/2027)</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</si>
  <si>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</si>
  <si>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</si>
  <si>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</si>
  <si>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</si>
  <si>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</si>
  <si>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</si>
  <si>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</si>
  <si>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</si>
  <si>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</si>
  <si>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</si>
  <si>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</si>
  <si>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</si>
  <si>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</si>
  <si>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</si>
  <si>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</si>
  <si>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</si>
  <si>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</si>
  <si>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</si>
  <si>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</si>
  <si>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</si>
  <si>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</si>
  <si>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</si>
  <si>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</si>
  <si>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</si>
  <si>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</si>
  <si>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</si>
  <si>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</si>
  <si>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</si>
  <si>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</si>
  <si>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</si>
  <si>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</si>
  <si>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</si>
  <si>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</si>
  <si>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</si>
  <si>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</si>
  <si>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</si>
  <si>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</si>
  <si>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</si>
  <si>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</si>
  <si>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</si>
  <si>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Hero MotoCorp Limited</t>
  </si>
  <si>
    <t>InterGlobe Aviation Limited</t>
  </si>
  <si>
    <t>Minerals &amp; Mining</t>
  </si>
  <si>
    <t>Ahluwalia Contracts (India) Limited</t>
  </si>
  <si>
    <t>LTIMindtree Limited</t>
  </si>
  <si>
    <t>Hindustan Aeronautics Limited</t>
  </si>
  <si>
    <t>Godrej Consumer Products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</si>
  <si>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</si>
  <si>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</si>
  <si>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</si>
  <si>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</si>
  <si>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</si>
  <si>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NIFTY 50 INDEX FUND</t>
  </si>
  <si>
    <t>BANDHAN ASSET ALLOCATION FUND - MODERATE PLAN</t>
  </si>
  <si>
    <t>BANDHAN ASSET ALLOCATION FUND - AGGRESSIVE PLAN</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</si>
  <si>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</si>
  <si>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</si>
  <si>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</si>
  <si>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</si>
  <si>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</si>
  <si>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</si>
  <si>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</si>
  <si>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</si>
  <si>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</si>
  <si>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</si>
  <si>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</si>
  <si>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</si>
  <si>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</si>
  <si>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</si>
  <si>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</si>
  <si>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</si>
  <si>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</si>
  <si>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</si>
  <si>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</si>
  <si>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</si>
  <si>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</si>
  <si>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</si>
  <si>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BANDHAN FINANCIAL SERVICES FUND</t>
  </si>
  <si>
    <t>Financial Technology (Fintech)</t>
  </si>
  <si>
    <t>Household Products</t>
  </si>
  <si>
    <t>Persistent Systems Limited</t>
  </si>
  <si>
    <t>Cholamandalam Financial Holdings Limited</t>
  </si>
  <si>
    <t>Wipro Limited</t>
  </si>
  <si>
    <t>Tech Mahindra Limited</t>
  </si>
  <si>
    <t>HCL Technologies Limited</t>
  </si>
  <si>
    <t>Coforge Limited</t>
  </si>
  <si>
    <t>BANDHAN NIFTY IT INDEX FUND</t>
  </si>
  <si>
    <t>7.18% GOI (MD 14/08/2033)</t>
  </si>
  <si>
    <t>Varun Beverages Limited</t>
  </si>
  <si>
    <t>Apar Industries Limited</t>
  </si>
  <si>
    <t>Arvind Limited</t>
  </si>
  <si>
    <t>7.18% GOI (MD 24/07/2037)</t>
  </si>
  <si>
    <t>Corporate Debt Market Development Fund</t>
  </si>
  <si>
    <t>BANDHAN RETIREMENT FUND</t>
  </si>
  <si>
    <t>Coal India Limited</t>
  </si>
  <si>
    <t>TVS Holdings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</si>
  <si>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</si>
  <si>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Shriram Finance Limited</t>
  </si>
  <si>
    <t>Bandhan Nifty Alpha 50 Index Fund</t>
  </si>
  <si>
    <t>BANDHAN SMALL CAP FUND (PREVIOUSLY KNOWN AS BANDHAN EMERGING BUSINESSES FUND)</t>
  </si>
  <si>
    <t>BANDHAN ELSS TAX SAVER FUND (PREVIOUSLY KNOWN AS BANDHAN TAX ADVANTAGE (ELSS) FUND)</t>
  </si>
  <si>
    <t>Mankind Pharma Limited</t>
  </si>
  <si>
    <t>Computer Age Management Services Limited</t>
  </si>
  <si>
    <t>GPT Infraprojects Limited</t>
  </si>
  <si>
    <t>Multi Commodity Exchange of India Limited</t>
  </si>
  <si>
    <t>Prestige Estates Projects Limited</t>
  </si>
  <si>
    <t>Bandhan Nifty Smallcap 250 Index Fund</t>
  </si>
  <si>
    <t>Healthcare Equipment &amp; Supplies</t>
  </si>
  <si>
    <t>Central Depository Services (India) Limited</t>
  </si>
  <si>
    <t>Mutual Fund Units</t>
  </si>
  <si>
    <t>Bandhan Money Manager Treasury -Direct Pl-Growth</t>
  </si>
  <si>
    <t>7.3% GOI (MD 19/06/2053)</t>
  </si>
  <si>
    <t>Eicher Motors Limited</t>
  </si>
  <si>
    <t>PB Fintech Limited</t>
  </si>
  <si>
    <t>International Exchange Traded Funds</t>
  </si>
  <si>
    <t>iShares V PLC - iShares MSCI ACWI UCITS ETF</t>
  </si>
  <si>
    <t>Exchange Traded Funds</t>
  </si>
  <si>
    <t>Others</t>
  </si>
  <si>
    <t>ICICI Prudential Gold ETF</t>
  </si>
  <si>
    <t>ICICI Prudential Silver ETF</t>
  </si>
  <si>
    <t>BANDHAN MULTI ASSET ALLOCATION FUND</t>
  </si>
  <si>
    <t>Info Edge (India) Limited</t>
  </si>
  <si>
    <t>Engineering Services</t>
  </si>
  <si>
    <t>IT - Hardware</t>
  </si>
  <si>
    <t>Jio Financial Services Limited</t>
  </si>
  <si>
    <t>Dixon Technologies (India) Limited</t>
  </si>
  <si>
    <t>6.54% GOI (MD 17/01/2032)</t>
  </si>
  <si>
    <t>V-Mart Retail Limited</t>
  </si>
  <si>
    <t>Asian Paints Limited</t>
  </si>
  <si>
    <t>Glenmark Pharmaceuticals Limited</t>
  </si>
  <si>
    <t>Crompton Greaves Consumer Electricals Limited</t>
  </si>
  <si>
    <t>BSE Limited</t>
  </si>
  <si>
    <t>Suzlon Energy Limited</t>
  </si>
  <si>
    <t>BANDHAN INNOVATION FUND</t>
  </si>
  <si>
    <t>United Breweries Limited</t>
  </si>
  <si>
    <t>Avanti Feeds Limited</t>
  </si>
  <si>
    <t>Adani Ports and Special Economic Zone Limited</t>
  </si>
  <si>
    <t>AstraZeneca Pharma India Limited</t>
  </si>
  <si>
    <t>Bajaj Finserv Limited</t>
  </si>
  <si>
    <t>Grasim Industries Limited</t>
  </si>
  <si>
    <t>Aster DM Healthcare Limited</t>
  </si>
  <si>
    <t>Sun Pharmaceutical Industries Limited</t>
  </si>
  <si>
    <t>KEC International Limited</t>
  </si>
  <si>
    <t>LT Foods Limited</t>
  </si>
  <si>
    <t>The South Indian Bank Limited</t>
  </si>
  <si>
    <t>Alkem Laboratories Limited</t>
  </si>
  <si>
    <t>AU Small Finance Bank Limited</t>
  </si>
  <si>
    <t>Muthoot Finance Limited</t>
  </si>
  <si>
    <t>AA+</t>
  </si>
  <si>
    <t>BANDHAN CONSERVATIVE HYBRID FUND (PREVIOUSLY KNOWN AS BANDHAN REGULAR SAVINGS FUND)</t>
  </si>
  <si>
    <t>Godrej Housing Finance Limited</t>
  </si>
  <si>
    <t>Bandhan Nifty Total Market Index Fund</t>
  </si>
  <si>
    <t>The Federal Bank Limited</t>
  </si>
  <si>
    <t>The Karnataka Bank Limited</t>
  </si>
  <si>
    <t>PTC India Financial Services Limited</t>
  </si>
  <si>
    <t>Mphasis Limited</t>
  </si>
  <si>
    <t>Other Utilities</t>
  </si>
  <si>
    <t>One 97 Communications Limited</t>
  </si>
  <si>
    <t>Punjab National Bank</t>
  </si>
  <si>
    <t>Torrent Pharmaceuticals Limited</t>
  </si>
  <si>
    <t>Bajaj Housing Finance Limited</t>
  </si>
  <si>
    <t>Aurobindo Pharma Limited</t>
  </si>
  <si>
    <t>Sobha Limited</t>
  </si>
  <si>
    <t>H.G. Infra Engineering Limited</t>
  </si>
  <si>
    <t>Bank of Baroda</t>
  </si>
  <si>
    <t>IDFC First Bank Limited</t>
  </si>
  <si>
    <t>Bandhan Nifty Bank Index Fund</t>
  </si>
  <si>
    <t>Vedanta Limited</t>
  </si>
  <si>
    <t>Government Bond Total</t>
  </si>
  <si>
    <t>Zero Coupon Bond Total</t>
  </si>
  <si>
    <t>Tata Motors Finance Limited</t>
  </si>
  <si>
    <t>Nestle India Limited</t>
  </si>
  <si>
    <t>Motilal Oswal Financial Services Limited</t>
  </si>
  <si>
    <t>MRF Limited</t>
  </si>
  <si>
    <t>SBI Cards and Payment Services Limited</t>
  </si>
  <si>
    <t>Jubilant Ingrevia Limited</t>
  </si>
  <si>
    <t>Apollo Hospitals Enterprise Limited</t>
  </si>
  <si>
    <t>Oracle Financial Services Software Limited</t>
  </si>
  <si>
    <t>Radico Khaitan Limited</t>
  </si>
  <si>
    <t>Canara Bank</t>
  </si>
  <si>
    <t>Bandhan BSE Healthcare Index Fund</t>
  </si>
  <si>
    <t>Max Healthcare Institute Limited</t>
  </si>
  <si>
    <t>Divi's Laboratories Limited</t>
  </si>
  <si>
    <t>Lupin Limited</t>
  </si>
  <si>
    <t>Fortis Healthcare Limited</t>
  </si>
  <si>
    <t>Zydus Lifesciences Limited</t>
  </si>
  <si>
    <t>Bandhan Nifty Midcap 150 Index Fund</t>
  </si>
  <si>
    <t>BANDHAN BUSINESS CYCLE FUND</t>
  </si>
  <si>
    <t>Coromandel International Limited</t>
  </si>
  <si>
    <t>Equity Options</t>
  </si>
  <si>
    <t>State Government Bond</t>
  </si>
  <si>
    <t>Aditya Birla Real Estate Limited</t>
  </si>
  <si>
    <t>Bandhan Nifty 500 Value 50 Index Fund</t>
  </si>
  <si>
    <t>Bandhan Nifty 500 Momentum 50 Index Fund</t>
  </si>
  <si>
    <t>Avenue Supermarts Limited</t>
  </si>
  <si>
    <t>LG Balakrishnan &amp; Bros Limited</t>
  </si>
  <si>
    <t>Sundaram Clayton Limited</t>
  </si>
  <si>
    <t>BANDHAN BSE SENSEX Exchange Traded Fund</t>
  </si>
  <si>
    <t>Laurus Labs Limited</t>
  </si>
  <si>
    <t>HDFC Asset Management Company Limited</t>
  </si>
  <si>
    <t>Power Grid Corporation of India Limited</t>
  </si>
  <si>
    <t>Hindalco Industries Limited</t>
  </si>
  <si>
    <t>Oil &amp; Natural Gas Corporation Limited</t>
  </si>
  <si>
    <t>Tata Steel Limited</t>
  </si>
  <si>
    <t>Indian Oil Corporation Limited</t>
  </si>
  <si>
    <t>Bharat Petroleum Corporation Limited</t>
  </si>
  <si>
    <t>UPL Limited</t>
  </si>
  <si>
    <t>Godrej Industries Limited</t>
  </si>
  <si>
    <t>8.23% Gujarat SDL (MD 21/02/2028)</t>
  </si>
  <si>
    <t>Wockhardt Limited</t>
  </si>
  <si>
    <t>Indus Towers Limited</t>
  </si>
  <si>
    <t>Certificate of Deposit Total</t>
  </si>
  <si>
    <t>A1+</t>
  </si>
  <si>
    <t>7.7% Karnataka SDL (MD 15/11/2027)</t>
  </si>
  <si>
    <t>7.75% Gujarat SDL (MD 13/12/2027)</t>
  </si>
  <si>
    <t>Amber Enterprises India Limited</t>
  </si>
  <si>
    <t>Telecom - Equipment &amp; Accessories</t>
  </si>
  <si>
    <t>Bandhan Nifty 200 Quality 30 Index Fund</t>
  </si>
  <si>
    <t>ICICI Lombard General Insurance Company Limited</t>
  </si>
  <si>
    <t>Hyundai Motor India Ltd</t>
  </si>
  <si>
    <t>United Spirits Limited</t>
  </si>
  <si>
    <t>Colgate Palmolive (India) Limited</t>
  </si>
  <si>
    <t>Rating</t>
  </si>
  <si>
    <t>AAA EQUIVALENT</t>
  </si>
  <si>
    <t>Bandhan Corporate Bond Fund - Direct Growth</t>
  </si>
  <si>
    <t>TRI Party Repo</t>
  </si>
  <si>
    <t>Mutual Fund Units Total</t>
  </si>
  <si>
    <t>JPMorgan ETFs BetaBuilders US Tre Bond0-1 yr UCITS</t>
  </si>
  <si>
    <t>PCBL Chemical Limited</t>
  </si>
  <si>
    <t>Yatharth Hospital And Trauma Care Services Limited</t>
  </si>
  <si>
    <t>VRL Logistics Limited</t>
  </si>
  <si>
    <t>Max Financial Services Limited</t>
  </si>
  <si>
    <t>Mazagon Dock Shipbuilders Limited</t>
  </si>
  <si>
    <t>Karur Vysya Bank Limited</t>
  </si>
  <si>
    <t>SRF Limited</t>
  </si>
  <si>
    <t xml:space="preserve">BANDHAN US TREASURY BOND 0-1 YEAR FUND OF FUND </t>
  </si>
  <si>
    <t>Pidilite Industries Limited</t>
  </si>
  <si>
    <t>Bandhan Nifty Alpha Low Volatility 30 Index Fund</t>
  </si>
  <si>
    <t>Commercial Paper</t>
  </si>
  <si>
    <t>Bandhan Arbitrage Fund-Direct Plan- Growth</t>
  </si>
  <si>
    <t>Can Fin Homes Limited</t>
  </si>
  <si>
    <t>Zinka Logistics Solution Limited</t>
  </si>
  <si>
    <t>SBI Life Insurance Company Limited</t>
  </si>
  <si>
    <t>Tata Power Company Limited</t>
  </si>
  <si>
    <t>Bandhan Nifty Next 50 Index Fund</t>
  </si>
  <si>
    <t>Bandhan CRISIL-IBX Fin Serv 3-6 Months-Direct-Gr</t>
  </si>
  <si>
    <t>8.43% Uttar Pradesh SDL (MD 06/03/2029)</t>
  </si>
  <si>
    <t>Titan Company Limited</t>
  </si>
  <si>
    <t xml:space="preserve"> AA</t>
  </si>
  <si>
    <t xml:space="preserve"> AAA</t>
  </si>
  <si>
    <t xml:space="preserve"> AA+</t>
  </si>
  <si>
    <t xml:space="preserve"> Bandhan Aggressive Hybrid Fund (previously known as BANDHAN HYBRID EQUITY FUND)</t>
  </si>
  <si>
    <t>HDFC Life Insurance Company Limited</t>
  </si>
  <si>
    <t>Angel One Limited</t>
  </si>
  <si>
    <t>Solar Industries India Limited</t>
  </si>
  <si>
    <t>Poonawalla Fincorp Limited</t>
  </si>
  <si>
    <t>Inox Wind Energy Limited</t>
  </si>
  <si>
    <t>Samvardhana Motherson International Limited</t>
  </si>
  <si>
    <t>PG Electroplast Limited</t>
  </si>
  <si>
    <t>Hitachi Energy India Limited</t>
  </si>
  <si>
    <t>Aegis Logistics Limited</t>
  </si>
  <si>
    <t>Firstsource Solutions Limited</t>
  </si>
  <si>
    <t>Krishna Institute Of Medical Sciences Limited</t>
  </si>
  <si>
    <t>Redington Limited</t>
  </si>
  <si>
    <t>PNB Housing Finance Limited</t>
  </si>
  <si>
    <t>3M India Limited</t>
  </si>
  <si>
    <t>Eternal Limited</t>
  </si>
  <si>
    <t>SignatureGlobal (India) Limited</t>
  </si>
  <si>
    <t>Miscellaneous</t>
  </si>
  <si>
    <t>ICICI Prudential Life Insurance Company Limited</t>
  </si>
  <si>
    <t>MedPlus Health Services Limited</t>
  </si>
  <si>
    <t>City Union Bank Limited</t>
  </si>
  <si>
    <t>Cochin Shipyard Limited</t>
  </si>
  <si>
    <t>Kaynes Technology India Limited</t>
  </si>
  <si>
    <t>Delhivery Limited</t>
  </si>
  <si>
    <t>7.04% Tamilnadu SDL (MD 19/03/2030)</t>
  </si>
  <si>
    <t>Portfolio as on - (30th April 2025)</t>
  </si>
  <si>
    <t>Net Assets as on 30th April 2025</t>
  </si>
  <si>
    <t>Certificate of Deposit</t>
  </si>
  <si>
    <t>Bandhan Ultra Short Term Fund - Direct Plan Growth</t>
  </si>
  <si>
    <t>Zero Coupon Bond</t>
  </si>
  <si>
    <t>8.28% Gujarat SDL (MD 13/02/2029)</t>
  </si>
  <si>
    <t>GE Vernova T&amp;D India Limited</t>
  </si>
  <si>
    <t>Indiamart Intermesh Limited</t>
  </si>
  <si>
    <t>315.53 crs</t>
  </si>
  <si>
    <t>1862.19 crs</t>
  </si>
  <si>
    <t>1838.84 crs</t>
  </si>
  <si>
    <t>9961.02 crs</t>
  </si>
  <si>
    <t>1679.78 crs</t>
  </si>
  <si>
    <t>2617.20 crs</t>
  </si>
  <si>
    <t>7356.66 crs</t>
  </si>
  <si>
    <t>11743.70 crs</t>
  </si>
  <si>
    <t>1700.65 crs</t>
  </si>
  <si>
    <t>547.88 crs</t>
  </si>
  <si>
    <t>1039.30 crs</t>
  </si>
  <si>
    <t>1512.00 crs</t>
  </si>
  <si>
    <t>1683.25 crs</t>
  </si>
  <si>
    <t>6954.94 crs</t>
  </si>
  <si>
    <t>9042.14 crs</t>
  </si>
  <si>
    <t>2263.27 crs</t>
  </si>
  <si>
    <t>303.48 crs</t>
  </si>
  <si>
    <t>116.61 crs</t>
  </si>
  <si>
    <t>903.65 crs</t>
  </si>
  <si>
    <t>180.46 crs</t>
  </si>
  <si>
    <t>1928.26 crs</t>
  </si>
  <si>
    <t>19.21 crs</t>
  </si>
  <si>
    <t>19.33 crs</t>
  </si>
  <si>
    <t>6.25crs</t>
  </si>
  <si>
    <t>462.54 crs</t>
  </si>
  <si>
    <t xml:space="preserve">Bandhan Income Plus Arbitrage Fund of Funds (previously known as Bandhan All Seasons Bond Fund) </t>
  </si>
  <si>
    <t>1886.21 crs</t>
  </si>
  <si>
    <t>1.23 crs</t>
  </si>
  <si>
    <t>28.11 crs</t>
  </si>
  <si>
    <t>181.99 crs</t>
  </si>
  <si>
    <t>132.27 crs</t>
  </si>
  <si>
    <t>1499.21 crs</t>
  </si>
  <si>
    <t>25.54 crs</t>
  </si>
  <si>
    <t>448.36 crs</t>
  </si>
  <si>
    <t>54.86 crs</t>
  </si>
  <si>
    <t>40.00 crs</t>
  </si>
  <si>
    <t>17.68 crs</t>
  </si>
  <si>
    <t>18.17 crs</t>
  </si>
  <si>
    <t>24.98 crs</t>
  </si>
  <si>
    <t>13.03 crs</t>
  </si>
  <si>
    <t>23.65 crs</t>
  </si>
  <si>
    <t>11.78 crs</t>
  </si>
  <si>
    <t>8.46 crs</t>
  </si>
  <si>
    <t>17.24 crs</t>
  </si>
  <si>
    <t>132.79 crs</t>
  </si>
  <si>
    <t>Portfolio as on - (31st May 2025)</t>
  </si>
  <si>
    <t>Net Assets as on 31st May 2025</t>
  </si>
  <si>
    <t>9106.59 Crs</t>
  </si>
  <si>
    <t>Other Consumer Services</t>
  </si>
  <si>
    <t>TARC Limited</t>
  </si>
  <si>
    <t>Azad Engineering Ltd</t>
  </si>
  <si>
    <t>PTC Industries Limited</t>
  </si>
  <si>
    <t>Rane Holdings Limited</t>
  </si>
  <si>
    <t>Reliance Power Limited</t>
  </si>
  <si>
    <t>Yes Bank Limited</t>
  </si>
  <si>
    <t>Steel Authority of India Limited</t>
  </si>
  <si>
    <t>Bajaj Holdings &amp; Investment Limited</t>
  </si>
  <si>
    <t>2.88</t>
  </si>
  <si>
    <t>12.56</t>
  </si>
  <si>
    <t>11.29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</si>
</sst>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Black]\(0.00%\)"/>
    <numFmt numFmtId="165" formatCode="#,##0.00%_);\(#,##0.00%\)"/>
    <numFmt numFmtId="166" formatCode="#0.00%;\(#0.00%\)"/>
    <numFmt numFmtId="167" formatCode="0.000000%"/>
    <numFmt numFmtId="168" formatCode="0.0%"/>
    <numFmt numFmtId="169" formatCode="0.000%"/>
    <numFmt numFmtId="170" formatCode="0.000%;[Black]\(0.000%\)"/>
  </numFmts>
  <fonts count="22"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
      <sz val="12"/>
      <color rgb="FFFF0000"/>
      <name val="Arial"/>
      <family val="2"/>
    </font>
    <font>
      <b/>
      <sz val="9"/>
      <color rgb="FF000000"/>
      <name val="Arial"/>
      <family val="2"/>
    </font>
    <font>
      <b/>
      <sz val="12"/>
      <color theme="1"/>
      <name val="Arial"/>
      <family val="2"/>
    </font>
    <font>
      <b/>
      <sz val="11"/>
      <color theme="1"/>
      <name val="Arial"/>
      <family val="2"/>
    </font>
    <font>
      <sz val="12"/>
      <color theme="1"/>
      <name val="Arial"/>
      <family val="2"/>
    </font>
    <font>
      <b/>
      <sz val="12"/>
      <color indexed="8"/>
      <name val="Arial"/>
      <family val="2"/>
    </font>
    <font>
      <sz val="11"/>
      <color indexed="9"/>
      <name val="Calibri"/>
      <family val="2"/>
      <scheme val="minor"/>
    </font>
    <font>
      <sz val="11"/>
      <color theme="0"/>
      <name val="Calibri"/>
      <family val="2"/>
      <scheme val="minor"/>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41">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8"/>
      </left>
      <right/>
      <top style="thin">
        <color indexed="8"/>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s>
  <cellStyleXfs count="2">
    <xf numFmtId="0" fontId="0" fillId="0" borderId="0"/>
    <xf numFmtId="9" fontId="1" fillId="0" borderId="0" applyFont="0" applyFill="0" applyBorder="0" applyAlignment="0" applyProtection="0"/>
  </cellStyleXfs>
  <cellXfs count="343">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0" fontId="6" fillId="3" borderId="0" xfId="0" applyFont="1" applyFill="1"/>
    <xf numFmtId="0" fontId="7" fillId="0" borderId="0" xfId="0" applyFont="1"/>
    <xf numFmtId="0" fontId="3" fillId="0" borderId="0" xfId="0" applyFont="1" applyFill="1" applyBorder="1"/>
    <xf numFmtId="0" fontId="3" fillId="0" borderId="12" xfId="0" applyFont="1" applyBorder="1"/>
    <xf numFmtId="10" fontId="3" fillId="0" borderId="0" xfId="0" applyNumberFormat="1" applyFont="1"/>
    <xf numFmtId="0" fontId="8" fillId="0" borderId="0" xfId="0" applyFont="1" applyBorder="1"/>
    <xf numFmtId="0" fontId="3" fillId="0" borderId="21" xfId="0" applyFont="1" applyBorder="1"/>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0" fontId="6" fillId="0" borderId="0" xfId="1"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3" fillId="0" borderId="10" xfId="1" applyNumberFormat="1" applyFont="1" applyBorder="1"/>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166" fontId="3" fillId="0" borderId="10" xfId="1" applyNumberFormat="1" applyFont="1" applyBorder="1"/>
    <xf numFmtId="166" fontId="3" fillId="0" borderId="9" xfId="0" applyNumberFormat="1" applyFont="1" applyFill="1" applyBorder="1" applyAlignment="1">
      <alignment horizontal="right" vertical="center"/>
    </xf>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64" fontId="3" fillId="0" borderId="24" xfId="0" applyNumberFormat="1" applyFont="1" applyBorder="1" applyAlignment="1">
      <alignment vertical="center"/>
    </xf>
    <xf numFmtId="164" fontId="3" fillId="0" borderId="9" xfId="0" applyNumberFormat="1" applyFont="1" applyFill="1" applyBorder="1" applyAlignment="1" applyProtection="1">
      <alignment horizontal="left" wrapText="1"/>
    </xf>
    <xf numFmtId="164" fontId="3" fillId="0" borderId="24" xfId="0" applyNumberFormat="1" applyFont="1" applyFill="1" applyBorder="1" applyAlignment="1" applyProtection="1">
      <alignment horizontal="left" wrapText="1"/>
    </xf>
    <xf numFmtId="167" fontId="5" fillId="0" borderId="10" xfId="0" applyNumberFormat="1" applyFont="1" applyFill="1" applyBorder="1" applyAlignment="1">
      <alignment vertical="center" wrapText="1"/>
    </xf>
    <xf numFmtId="166" fontId="3" fillId="0" borderId="16" xfId="0" applyNumberFormat="1" applyFont="1" applyFill="1" applyBorder="1" applyAlignment="1">
      <alignment horizontal="left"/>
    </xf>
    <xf numFmtId="0" fontId="2" fillId="0" borderId="0" xfId="0" applyFont="1" applyBorder="1"/>
    <xf numFmtId="10" fontId="2" fillId="0" borderId="0" xfId="0" applyNumberFormat="1" applyFont="1" applyBorder="1"/>
    <xf numFmtId="10" fontId="2" fillId="0" borderId="0" xfId="1" applyNumberFormat="1" applyFont="1" applyBorder="1" applyAlignment="1">
      <alignment horizontal="left"/>
    </xf>
    <xf numFmtId="10" fontId="2" fillId="0" borderId="9" xfId="1" applyNumberFormat="1" applyFont="1" applyBorder="1" applyAlignment="1">
      <alignment horizontal="right"/>
    </xf>
    <xf numFmtId="0" fontId="14" fillId="0" borderId="0" xfId="0" applyFont="1" applyBorder="1"/>
    <xf numFmtId="10" fontId="2" fillId="0" borderId="0" xfId="1" applyNumberFormat="1" applyFont="1"/>
    <xf numFmtId="10" fontId="2" fillId="0" borderId="9" xfId="1" applyNumberFormat="1" applyFont="1" applyFill="1" applyBorder="1" applyAlignment="1">
      <alignment horizontal="right"/>
    </xf>
    <xf numFmtId="10" fontId="2" fillId="0" borderId="0" xfId="1" applyNumberFormat="1" applyFont="1" applyFill="1" applyBorder="1" applyAlignment="1">
      <alignment horizontal="left"/>
    </xf>
    <xf numFmtId="166" fontId="15" fillId="0" borderId="0" xfId="0" applyNumberFormat="1" applyFont="1" applyFill="1" applyBorder="1" applyAlignment="1" applyProtection="1">
      <alignment horizontal="right" wrapText="1"/>
    </xf>
    <xf numFmtId="170" fontId="3" fillId="0" borderId="10" xfId="0" applyNumberFormat="1" applyFont="1" applyBorder="1" applyAlignment="1">
      <alignment vertical="center"/>
    </xf>
    <xf numFmtId="166" fontId="3" fillId="0" borderId="16" xfId="1" applyNumberFormat="1" applyFont="1" applyFill="1" applyBorder="1" applyAlignment="1">
      <alignment horizontal="right"/>
    </xf>
    <xf numFmtId="166" fontId="3" fillId="0" borderId="32" xfId="0" applyNumberFormat="1" applyFont="1" applyFill="1" applyBorder="1" applyAlignment="1">
      <alignment horizontal="left"/>
    </xf>
    <xf numFmtId="0" fontId="5" fillId="4" borderId="0" xfId="0" applyFont="1" applyFill="1" applyBorder="1" applyAlignment="1">
      <alignment vertical="center" wrapText="1"/>
    </xf>
    <xf numFmtId="166" fontId="3" fillId="0" borderId="0" xfId="0" applyNumberFormat="1" applyFont="1" applyFill="1" applyBorder="1" applyAlignment="1">
      <alignment horizontal="left"/>
    </xf>
    <xf numFmtId="0" fontId="3" fillId="0" borderId="0" xfId="0" applyFont="1" applyBorder="1" applyAlignment="1">
      <alignment horizontal="left"/>
    </xf>
    <xf numFmtId="0" fontId="5" fillId="4" borderId="33" xfId="0" applyFont="1" applyFill="1" applyBorder="1" applyAlignment="1">
      <alignment vertical="center" wrapText="1"/>
    </xf>
    <xf numFmtId="166" fontId="2" fillId="0" borderId="0" xfId="0" applyNumberFormat="1" applyFont="1"/>
    <xf numFmtId="10" fontId="2" fillId="0" borderId="10" xfId="1" applyNumberFormat="1" applyFont="1" applyBorder="1" applyAlignment="1">
      <alignment horizontal="right"/>
    </xf>
    <xf numFmtId="0" fontId="0" fillId="0" borderId="4" xfId="0" applyBorder="1"/>
    <xf numFmtId="0" fontId="0" fillId="0" borderId="1" xfId="0" applyBorder="1"/>
    <xf numFmtId="0" fontId="0" fillId="0" borderId="2" xfId="0" applyBorder="1"/>
    <xf numFmtId="0" fontId="0" fillId="0" borderId="5" xfId="0" applyBorder="1"/>
    <xf numFmtId="0" fontId="0" fillId="0" borderId="0" xfId="0" applyBorder="1"/>
    <xf numFmtId="0" fontId="0" fillId="0" borderId="3" xfId="0" applyBorder="1"/>
    <xf numFmtId="0" fontId="16" fillId="2" borderId="34" xfId="0" applyFont="1" applyFill="1" applyBorder="1" applyAlignment="1">
      <alignment horizontal="center" vertical="center"/>
    </xf>
    <xf numFmtId="0" fontId="16" fillId="2" borderId="35" xfId="0" applyFont="1" applyFill="1" applyBorder="1" applyAlignment="1">
      <alignment horizontal="center" vertical="center" wrapText="1"/>
    </xf>
    <xf numFmtId="0" fontId="16" fillId="2" borderId="36" xfId="0" applyFont="1" applyFill="1" applyBorder="1" applyAlignment="1">
      <alignment horizontal="center" vertical="center"/>
    </xf>
    <xf numFmtId="0" fontId="18" fillId="0" borderId="27" xfId="0" applyFont="1" applyBorder="1" applyAlignment="1">
      <alignment vertical="center"/>
    </xf>
    <xf numFmtId="0" fontId="18" fillId="0" borderId="37" xfId="0" applyFont="1" applyBorder="1" applyAlignment="1">
      <alignment vertical="center"/>
    </xf>
    <xf numFmtId="164" fontId="18" fillId="0" borderId="38" xfId="0" applyNumberFormat="1" applyFont="1" applyBorder="1" applyAlignment="1">
      <alignment vertical="center"/>
    </xf>
    <xf numFmtId="0" fontId="16" fillId="2" borderId="27" xfId="0" applyFont="1" applyFill="1" applyBorder="1" applyAlignment="1">
      <alignment horizontal="left" vertical="center"/>
    </xf>
    <xf numFmtId="0" fontId="16" fillId="2" borderId="37" xfId="0" applyFont="1" applyFill="1" applyBorder="1" applyAlignment="1">
      <alignment horizontal="right" vertical="center"/>
    </xf>
    <xf numFmtId="164" fontId="16" fillId="2" borderId="38" xfId="0" applyNumberFormat="1" applyFont="1" applyFill="1" applyBorder="1" applyAlignment="1">
      <alignment horizontal="right" vertical="center"/>
    </xf>
    <xf numFmtId="0" fontId="16" fillId="2" borderId="28" xfId="0" applyFont="1" applyFill="1" applyBorder="1" applyAlignment="1">
      <alignment horizontal="left" vertical="center"/>
    </xf>
    <xf numFmtId="0" fontId="16" fillId="2" borderId="39" xfId="0" applyFont="1" applyFill="1" applyBorder="1" applyAlignment="1">
      <alignment horizontal="right" vertical="center"/>
    </xf>
    <xf numFmtId="164" fontId="16" fillId="2" borderId="40" xfId="0" applyNumberFormat="1" applyFont="1" applyFill="1" applyBorder="1" applyAlignment="1">
      <alignment horizontal="right" vertical="center"/>
    </xf>
    <xf numFmtId="0" fontId="0" fillId="2" borderId="0" xfId="0" applyFill="1" applyBorder="1"/>
    <xf numFmtId="0" fontId="0" fillId="2" borderId="3" xfId="0" applyFill="1" applyBorder="1"/>
    <xf numFmtId="0" fontId="0" fillId="0" borderId="6" xfId="0" applyBorder="1"/>
    <xf numFmtId="0" fontId="0" fillId="0" borderId="7" xfId="0" applyBorder="1"/>
    <xf numFmtId="0" fontId="0" fillId="0" borderId="8" xfId="0" applyBorder="1"/>
    <xf numFmtId="0" fontId="3" fillId="0" borderId="24" xfId="0" applyFont="1" applyBorder="1" applyAlignment="1">
      <alignment horizontal="left" vertical="center" wrapText="1"/>
    </xf>
    <xf numFmtId="2" fontId="4" fillId="2" borderId="0" xfId="1" applyNumberFormat="1" applyFont="1" applyFill="1" applyBorder="1" applyAlignment="1">
      <alignment horizontal="center" vertical="center"/>
    </xf>
    <xf numFmtId="0" fontId="14" fillId="0" borderId="0" xfId="0" applyFont="1"/>
    <xf numFmtId="14" fontId="14" fillId="0" borderId="0" xfId="0" applyNumberFormat="1" applyFont="1"/>
    <xf numFmtId="10" fontId="6" fillId="3" borderId="0" xfId="1" applyNumberFormat="1" applyFont="1" applyFill="1"/>
    <xf numFmtId="0" fontId="19" fillId="0" borderId="0" xfId="0" applyFont="1" applyBorder="1" applyAlignment="1">
      <alignment horizontal="left"/>
    </xf>
    <xf numFmtId="0" fontId="20" fillId="0" borderId="0" xfId="0" applyFont="1" applyBorder="1"/>
    <xf numFmtId="9" fontId="20" fillId="0" borderId="0" xfId="0" applyNumberFormat="1" applyFont="1" applyBorder="1"/>
    <xf numFmtId="10" fontId="0" fillId="0" borderId="0" xfId="0" applyNumberFormat="1"/>
    <xf numFmtId="10" fontId="0" fillId="0" borderId="0" xfId="0" applyNumberFormat="1" applyAlignment="1">
      <alignment horizontal="left"/>
    </xf>
    <xf numFmtId="0" fontId="0" fillId="0" borderId="0" xfId="0" applyAlignment="1">
      <alignment horizontal="left"/>
    </xf>
    <xf numFmtId="10" fontId="0" fillId="0" borderId="0" xfId="0" applyNumberFormat="1"/>
    <xf numFmtId="10" fontId="0" fillId="0" borderId="0" xfId="0" applyNumberFormat="1" applyAlignment="1">
      <alignment horizontal="left"/>
    </xf>
    <xf numFmtId="0" fontId="0" fillId="0" borderId="0" xfId="0" applyNumberFormat="1"/>
    <xf numFmtId="10" fontId="0" fillId="0" borderId="0" xfId="0" applyNumberFormat="1"/>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0" fontId="0" fillId="0" borderId="0" xfId="0" applyNumberFormat="1" applyAlignment="1">
      <alignment horizontal="left"/>
    </xf>
    <xf numFmtId="4" fontId="4" fillId="2" borderId="0" xfId="1" applyNumberFormat="1" applyFont="1" applyFill="1" applyBorder="1" applyAlignment="1">
      <alignment horizontal="center" vertical="center"/>
    </xf>
    <xf numFmtId="2" fontId="17" fillId="2" borderId="0" xfId="0" applyNumberFormat="1" applyFont="1" applyFill="1" applyBorder="1" applyAlignment="1">
      <alignment horizontal="center" vertical="center"/>
    </xf>
    <xf numFmtId="0" fontId="0" fillId="0" borderId="0" xfId="0" applyFont="1" applyBorder="1"/>
    <xf numFmtId="0" fontId="3" fillId="0" borderId="25" xfId="0" applyFont="1" applyFill="1" applyBorder="1" applyAlignment="1" applyProtection="1">
      <alignment horizontal="left" vertical="top" wrapText="1"/>
    </xf>
    <xf numFmtId="0" fontId="3" fillId="0" borderId="24" xfId="0" applyFont="1" applyFill="1" applyBorder="1" applyAlignment="1" applyProtection="1">
      <alignment horizontal="left" vertical="top" wrapText="1"/>
    </xf>
    <xf numFmtId="0" fontId="3" fillId="0" borderId="26" xfId="0" applyFont="1" applyBorder="1" applyAlignment="1">
      <alignment vertical="center"/>
    </xf>
    <xf numFmtId="10" fontId="3" fillId="0" borderId="18" xfId="0" applyNumberFormat="1" applyFont="1" applyFill="1" applyBorder="1" applyAlignment="1" applyProtection="1">
      <alignment horizontal="right" wrapText="1"/>
    </xf>
    <xf numFmtId="0" fontId="21" fillId="0" borderId="0" xfId="0" applyFont="1" applyBorder="1"/>
    <xf numFmtId="10" fontId="21" fillId="0" borderId="0" xfId="0" applyNumberFormat="1" applyFont="1" applyBorder="1"/>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6" fillId="0" borderId="29" xfId="0" applyFont="1" applyBorder="1" applyAlignment="1">
      <alignment horizontal="left" vertical="top" wrapText="1"/>
    </xf>
    <xf numFmtId="0" fontId="6" fillId="0" borderId="30" xfId="0" applyFont="1" applyBorder="1" applyAlignment="1">
      <alignment horizontal="left" vertical="top" wrapText="1"/>
    </xf>
    <xf numFmtId="0" fontId="6" fillId="0" borderId="31" xfId="0" applyFont="1" applyBorder="1" applyAlignment="1">
      <alignment horizontal="left" vertical="top" wrapText="1"/>
    </xf>
    <xf numFmtId="0" fontId="4" fillId="0" borderId="0" xfId="0" applyFont="1" applyFill="1" applyBorder="1" applyAlignment="1">
      <alignment vertical="center" wrapText="1"/>
    </xf>
    <xf numFmtId="0" fontId="13" fillId="2" borderId="0" xfId="0" applyFont="1" applyFill="1" applyBorder="1" applyAlignment="1">
      <alignment horizontal="center" vertical="center"/>
    </xf>
    <xf numFmtId="0" fontId="0" fillId="0" borderId="0" xfId="0" applyBorder="1" applyAlignment="1">
      <alignment horizontal="center" vertical="center"/>
    </xf>
    <xf numFmtId="0" fontId="0" fillId="0" borderId="3" xfId="0" applyBorder="1" applyAlignment="1">
      <alignment horizontal="center" vertical="center"/>
    </xf>
    <xf numFmtId="0" fontId="13" fillId="2" borderId="0" xfId="0" applyFont="1" applyFill="1" applyBorder="1" applyAlignment="1">
      <alignment horizontal="right" vertical="center"/>
    </xf>
    <xf numFmtId="0" fontId="0" fillId="0" borderId="0" xfId="0" applyBorder="1" applyAlignment="1">
      <alignment horizontal="right"/>
    </xf>
    <xf numFmtId="0" fontId="17" fillId="2" borderId="0" xfId="0" applyFont="1" applyFill="1" applyBorder="1" applyAlignment="1">
      <alignment vertical="center"/>
    </xf>
    <xf numFmtId="0" fontId="0" fillId="0" borderId="0" xfId="0" applyBorder="1" applyAlignment="1">
      <alignment vertical="center"/>
    </xf>
    <xf numFmtId="0" fontId="0" fillId="0" borderId="3" xfId="0" applyBorder="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0.98357000000000006</c:v>
                </c:pt>
                <c:pt idx="1">
                  <c:v>-1.9070000000000001E-3</c:v>
                </c:pt>
                <c:pt idx="2">
                  <c:v>1.8336999999999999E-2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CEF'!$W$8:$W$44</c:f>
              <c:strCache>
                <c:ptCount val="37"/>
                <c:pt idx="0">
                  <c:v>Banks</c:v>
                </c:pt>
                <c:pt idx="1">
                  <c:v>Finance</c:v>
                </c:pt>
                <c:pt idx="2">
                  <c:v>Retailing</c:v>
                </c:pt>
                <c:pt idx="3">
                  <c:v>Pharmaceuticals &amp; Biotechnology</c:v>
                </c:pt>
                <c:pt idx="4">
                  <c:v>IT - Software</c:v>
                </c:pt>
                <c:pt idx="5">
                  <c:v>Realty</c:v>
                </c:pt>
                <c:pt idx="6">
                  <c:v>Capital Markets</c:v>
                </c:pt>
                <c:pt idx="7">
                  <c:v>Financial Technology (Fintech)</c:v>
                </c:pt>
                <c:pt idx="8">
                  <c:v>Transport Services</c:v>
                </c:pt>
                <c:pt idx="9">
                  <c:v>Insurance</c:v>
                </c:pt>
                <c:pt idx="10">
                  <c:v>Auto Components</c:v>
                </c:pt>
                <c:pt idx="11">
                  <c:v>Telecom - Services</c:v>
                </c:pt>
                <c:pt idx="12">
                  <c:v>Electrical Equipment</c:v>
                </c:pt>
                <c:pt idx="13">
                  <c:v>Power</c:v>
                </c:pt>
                <c:pt idx="14">
                  <c:v>Consumer Durables</c:v>
                </c:pt>
                <c:pt idx="15">
                  <c:v>Petroleum Products</c:v>
                </c:pt>
                <c:pt idx="16">
                  <c:v>Construction</c:v>
                </c:pt>
                <c:pt idx="17">
                  <c:v>Ferrous Metals</c:v>
                </c:pt>
                <c:pt idx="18">
                  <c:v>Diversified FMCG</c:v>
                </c:pt>
                <c:pt idx="19">
                  <c:v>Healthcare Services</c:v>
                </c:pt>
                <c:pt idx="20">
                  <c:v>Beverages</c:v>
                </c:pt>
                <c:pt idx="21">
                  <c:v>Aerospace &amp; Defense</c:v>
                </c:pt>
                <c:pt idx="22">
                  <c:v>Diversified</c:v>
                </c:pt>
                <c:pt idx="23">
                  <c:v>Automobiles</c:v>
                </c:pt>
                <c:pt idx="24">
                  <c:v>Non - Ferrous Metals</c:v>
                </c:pt>
                <c:pt idx="25">
                  <c:v>Industrial Products</c:v>
                </c:pt>
                <c:pt idx="26">
                  <c:v>Chemicals &amp; Petrochemicals</c:v>
                </c:pt>
                <c:pt idx="27">
                  <c:v>Minerals &amp; Mining</c:v>
                </c:pt>
                <c:pt idx="28">
                  <c:v>IT - Services</c:v>
                </c:pt>
                <c:pt idx="29">
                  <c:v>Transport Infrastructure</c:v>
                </c:pt>
                <c:pt idx="30">
                  <c:v>Fertilizers &amp; Agrochemicals</c:v>
                </c:pt>
                <c:pt idx="31">
                  <c:v>Entertainment</c:v>
                </c:pt>
                <c:pt idx="32">
                  <c:v>Textiles &amp; Apparels</c:v>
                </c:pt>
                <c:pt idx="33">
                  <c:v>Agricultural Food &amp; other Products</c:v>
                </c:pt>
                <c:pt idx="34">
                  <c:v>Consumable Fuels</c:v>
                </c:pt>
                <c:pt idx="35">
                  <c:v>Miscellaneous</c:v>
                </c:pt>
                <c:pt idx="36">
                  <c:v>Oil</c:v>
                </c:pt>
              </c:strCache>
            </c:strRef>
          </c:cat>
          <c:val>
            <c:numRef>
              <c:f>'BANDHAN CEF'!$X$8:$X$44</c:f>
              <c:numCache>
                <c:formatCode>0.00%</c:formatCode>
                <c:ptCount val="37"/>
                <c:pt idx="0">
                  <c:v>0.15968699999999997</c:v>
                </c:pt>
                <c:pt idx="1">
                  <c:v>5.9545999999999995E-2</c:v>
                </c:pt>
                <c:pt idx="2">
                  <c:v>5.8893999999999995E-2</c:v>
                </c:pt>
                <c:pt idx="3">
                  <c:v>5.8414999999999995E-2</c:v>
                </c:pt>
                <c:pt idx="4">
                  <c:v>4.1921E-2</c:v>
                </c:pt>
                <c:pt idx="5">
                  <c:v>3.7880999999999998E-2</c:v>
                </c:pt>
                <c:pt idx="6">
                  <c:v>3.7582999999999998E-2</c:v>
                </c:pt>
                <c:pt idx="7">
                  <c:v>3.6685000000000002E-2</c:v>
                </c:pt>
                <c:pt idx="8">
                  <c:v>2.9543999999999997E-2</c:v>
                </c:pt>
                <c:pt idx="9">
                  <c:v>2.8691000000000001E-2</c:v>
                </c:pt>
                <c:pt idx="10">
                  <c:v>2.7262000000000002E-2</c:v>
                </c:pt>
                <c:pt idx="11">
                  <c:v>2.5516E-2</c:v>
                </c:pt>
                <c:pt idx="12">
                  <c:v>2.5337000000000002E-2</c:v>
                </c:pt>
                <c:pt idx="13">
                  <c:v>2.5252999999999998E-2</c:v>
                </c:pt>
                <c:pt idx="14">
                  <c:v>2.4287E-2</c:v>
                </c:pt>
                <c:pt idx="15">
                  <c:v>2.3269999999999999E-2</c:v>
                </c:pt>
                <c:pt idx="16">
                  <c:v>2.0797999999999997E-2</c:v>
                </c:pt>
                <c:pt idx="17">
                  <c:v>2.0621999999999998E-2</c:v>
                </c:pt>
                <c:pt idx="18">
                  <c:v>1.9778E-2</c:v>
                </c:pt>
                <c:pt idx="19">
                  <c:v>1.7883E-2</c:v>
                </c:pt>
                <c:pt idx="20">
                  <c:v>1.7033E-2</c:v>
                </c:pt>
                <c:pt idx="21">
                  <c:v>1.6473999999999999E-2</c:v>
                </c:pt>
                <c:pt idx="22">
                  <c:v>1.4845000000000001E-2</c:v>
                </c:pt>
                <c:pt idx="23">
                  <c:v>1.2091999999999999E-2</c:v>
                </c:pt>
                <c:pt idx="24">
                  <c:v>1.1613999999999999E-2</c:v>
                </c:pt>
                <c:pt idx="25">
                  <c:v>1.0819E-2</c:v>
                </c:pt>
                <c:pt idx="26">
                  <c:v>1.0799E-2</c:v>
                </c:pt>
                <c:pt idx="27">
                  <c:v>1.0662E-2</c:v>
                </c:pt>
                <c:pt idx="28">
                  <c:v>9.9240000000000005E-3</c:v>
                </c:pt>
                <c:pt idx="29">
                  <c:v>9.9159999999999995E-3</c:v>
                </c:pt>
                <c:pt idx="30">
                  <c:v>9.1770000000000011E-3</c:v>
                </c:pt>
                <c:pt idx="31">
                  <c:v>7.9629999999999996E-3</c:v>
                </c:pt>
                <c:pt idx="32">
                  <c:v>7.3109999999999998E-3</c:v>
                </c:pt>
                <c:pt idx="33">
                  <c:v>7.175E-3</c:v>
                </c:pt>
                <c:pt idx="34">
                  <c:v>5.6420000000000003E-3</c:v>
                </c:pt>
                <c:pt idx="35">
                  <c:v>5.0429999999999997E-3</c:v>
                </c:pt>
                <c:pt idx="36">
                  <c:v>4.3930000000000002E-3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LCF'!$W$8:$W$37</c:f>
              <c:strCache>
                <c:ptCount val="30"/>
                <c:pt idx="0">
                  <c:v>Banks</c:v>
                </c:pt>
                <c:pt idx="1">
                  <c:v>IT - Software</c:v>
                </c:pt>
                <c:pt idx="2">
                  <c:v>Petroleum Products</c:v>
                </c:pt>
                <c:pt idx="3">
                  <c:v>Pharmaceuticals &amp; Biotechnology</c:v>
                </c:pt>
                <c:pt idx="4">
                  <c:v>Retailing</c:v>
                </c:pt>
                <c:pt idx="5">
                  <c:v>Power</c:v>
                </c:pt>
                <c:pt idx="6">
                  <c:v>Finance</c:v>
                </c:pt>
                <c:pt idx="7">
                  <c:v>Automobiles</c:v>
                </c:pt>
                <c:pt idx="8">
                  <c:v>Realty</c:v>
                </c:pt>
                <c:pt idx="9">
                  <c:v>Beverages</c:v>
                </c:pt>
                <c:pt idx="10">
                  <c:v>Cement &amp; Cement Products</c:v>
                </c:pt>
                <c:pt idx="11">
                  <c:v>Electrical Equipment</c:v>
                </c:pt>
                <c:pt idx="12">
                  <c:v>Telecom - Services</c:v>
                </c:pt>
                <c:pt idx="13">
                  <c:v>Consumer Durables</c:v>
                </c:pt>
                <c:pt idx="14">
                  <c:v>Diversified FMCG</c:v>
                </c:pt>
                <c:pt idx="15">
                  <c:v>Construction</c:v>
                </c:pt>
                <c:pt idx="16">
                  <c:v>Insurance</c:v>
                </c:pt>
                <c:pt idx="17">
                  <c:v>Financial Technology (Fintech)</c:v>
                </c:pt>
                <c:pt idx="18">
                  <c:v>Auto Components</c:v>
                </c:pt>
                <c:pt idx="19">
                  <c:v>Transport Services</c:v>
                </c:pt>
                <c:pt idx="20">
                  <c:v>Capital Markets</c:v>
                </c:pt>
                <c:pt idx="21">
                  <c:v>Ferrous Metals</c:v>
                </c:pt>
                <c:pt idx="22">
                  <c:v>Healthcare Services</c:v>
                </c:pt>
                <c:pt idx="23">
                  <c:v>Diversified Metals</c:v>
                </c:pt>
                <c:pt idx="24">
                  <c:v>Chemicals &amp; Petrochemicals</c:v>
                </c:pt>
                <c:pt idx="25">
                  <c:v>Leisure Services</c:v>
                </c:pt>
                <c:pt idx="26">
                  <c:v>Aerospace &amp; Defense</c:v>
                </c:pt>
                <c:pt idx="27">
                  <c:v>IT - Services</c:v>
                </c:pt>
                <c:pt idx="28">
                  <c:v>Engineering Services</c:v>
                </c:pt>
                <c:pt idx="29">
                  <c:v>IT - Services</c:v>
                </c:pt>
              </c:strCache>
            </c:strRef>
          </c:cat>
          <c:val>
            <c:numRef>
              <c:f>'BANDHAN LCF'!$X$8:$X$46</c:f>
              <c:numCache>
                <c:formatCode>0.00%</c:formatCode>
                <c:ptCount val="30"/>
                <c:pt idx="0">
                  <c:v>0.24223899999999998</c:v>
                </c:pt>
                <c:pt idx="1">
                  <c:v>9.2366000000000004E-2</c:v>
                </c:pt>
                <c:pt idx="2">
                  <c:v>7.7143000000000003E-2</c:v>
                </c:pt>
                <c:pt idx="3">
                  <c:v>5.3805000000000006E-2</c:v>
                </c:pt>
                <c:pt idx="4">
                  <c:v>4.8795999999999992E-2</c:v>
                </c:pt>
                <c:pt idx="5">
                  <c:v>4.6319999999999993E-2</c:v>
                </c:pt>
                <c:pt idx="6">
                  <c:v>4.4935000000000003E-2</c:v>
                </c:pt>
                <c:pt idx="7">
                  <c:v>4.4040999999999997E-2</c:v>
                </c:pt>
                <c:pt idx="8">
                  <c:v>2.9363E-2</c:v>
                </c:pt>
                <c:pt idx="9">
                  <c:v>2.6882E-2</c:v>
                </c:pt>
                <c:pt idx="10">
                  <c:v>2.6362E-2</c:v>
                </c:pt>
                <c:pt idx="11">
                  <c:v>2.6091999999999997E-2</c:v>
                </c:pt>
                <c:pt idx="12">
                  <c:v>2.6030999999999999E-2</c:v>
                </c:pt>
                <c:pt idx="13">
                  <c:v>2.4826999999999998E-2</c:v>
                </c:pt>
                <c:pt idx="14">
                  <c:v>2.3677E-2</c:v>
                </c:pt>
                <c:pt idx="15">
                  <c:v>2.2998999999999999E-2</c:v>
                </c:pt>
                <c:pt idx="16">
                  <c:v>2.1905000000000001E-2</c:v>
                </c:pt>
                <c:pt idx="17">
                  <c:v>2.1458000000000001E-2</c:v>
                </c:pt>
                <c:pt idx="18">
                  <c:v>1.5205E-2</c:v>
                </c:pt>
                <c:pt idx="19">
                  <c:v>1.4836E-2</c:v>
                </c:pt>
                <c:pt idx="20">
                  <c:v>1.3545000000000001E-2</c:v>
                </c:pt>
                <c:pt idx="21">
                  <c:v>1.1246000000000001E-2</c:v>
                </c:pt>
                <c:pt idx="22">
                  <c:v>9.0779999999999993E-3</c:v>
                </c:pt>
                <c:pt idx="23">
                  <c:v>8.2070000000000008E-3</c:v>
                </c:pt>
                <c:pt idx="24">
                  <c:v>6.0350000000000004E-3</c:v>
                </c:pt>
                <c:pt idx="25">
                  <c:v>4.8609999999999999E-3</c:v>
                </c:pt>
                <c:pt idx="26">
                  <c:v>4.0530000000000002E-3</c:v>
                </c:pt>
                <c:pt idx="27">
                  <c:v>1.5839999999999999E-3</c:v>
                </c:pt>
                <c:pt idx="28">
                  <c:v>1.3339999999999999E-3</c:v>
                </c:pt>
                <c:pt idx="29">
                  <c:v>9.0600000000000001E-4</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FEF'!$W$8:$W$25</c:f>
              <c:strCache>
                <c:ptCount val="18"/>
                <c:pt idx="0">
                  <c:v>Banks</c:v>
                </c:pt>
                <c:pt idx="1">
                  <c:v>Finance</c:v>
                </c:pt>
                <c:pt idx="2">
                  <c:v>Realty</c:v>
                </c:pt>
                <c:pt idx="3">
                  <c:v>Pharmaceuticals &amp; Biotechnology</c:v>
                </c:pt>
                <c:pt idx="4">
                  <c:v>Financial Technology (Fintech)</c:v>
                </c:pt>
                <c:pt idx="5">
                  <c:v>IT - Software</c:v>
                </c:pt>
                <c:pt idx="6">
                  <c:v>Petroleum Products</c:v>
                </c:pt>
                <c:pt idx="7">
                  <c:v>Telecom - Services</c:v>
                </c:pt>
                <c:pt idx="8">
                  <c:v>Construction</c:v>
                </c:pt>
                <c:pt idx="9">
                  <c:v>Retailing</c:v>
                </c:pt>
                <c:pt idx="10">
                  <c:v>Power</c:v>
                </c:pt>
                <c:pt idx="11">
                  <c:v>Capital Markets</c:v>
                </c:pt>
                <c:pt idx="12">
                  <c:v>Beverages</c:v>
                </c:pt>
                <c:pt idx="13">
                  <c:v>Diversified FMCG</c:v>
                </c:pt>
                <c:pt idx="14">
                  <c:v>Chemicals &amp; Petrochemicals</c:v>
                </c:pt>
                <c:pt idx="15">
                  <c:v>Engineering Services</c:v>
                </c:pt>
                <c:pt idx="16">
                  <c:v>Transport Infrastructure</c:v>
                </c:pt>
                <c:pt idx="17">
                  <c:v>IT - Services</c:v>
                </c:pt>
              </c:strCache>
            </c:strRef>
          </c:cat>
          <c:val>
            <c:numRef>
              <c:f>'BANDHAN FEF'!$X$8:$X$25</c:f>
              <c:numCache>
                <c:formatCode>0.00%</c:formatCode>
                <c:ptCount val="18"/>
                <c:pt idx="0">
                  <c:v>0.140402</c:v>
                </c:pt>
                <c:pt idx="1">
                  <c:v>9.9314000000000013E-2</c:v>
                </c:pt>
                <c:pt idx="2">
                  <c:v>9.4330999999999998E-2</c:v>
                </c:pt>
                <c:pt idx="3">
                  <c:v>7.3151999999999995E-2</c:v>
                </c:pt>
                <c:pt idx="4">
                  <c:v>6.5294000000000005E-2</c:v>
                </c:pt>
                <c:pt idx="5">
                  <c:v>6.3119000000000008E-2</c:v>
                </c:pt>
                <c:pt idx="6">
                  <c:v>4.3801E-2</c:v>
                </c:pt>
                <c:pt idx="7">
                  <c:v>3.8358999999999997E-2</c:v>
                </c:pt>
                <c:pt idx="8">
                  <c:v>3.8205999999999997E-2</c:v>
                </c:pt>
                <c:pt idx="9">
                  <c:v>3.7400000000000003E-2</c:v>
                </c:pt>
                <c:pt idx="10">
                  <c:v>3.6584999999999999E-2</c:v>
                </c:pt>
                <c:pt idx="11">
                  <c:v>3.5496E-2</c:v>
                </c:pt>
                <c:pt idx="12">
                  <c:v>2.9333000000000001E-2</c:v>
                </c:pt>
                <c:pt idx="13">
                  <c:v>2.7281E-2</c:v>
                </c:pt>
                <c:pt idx="14">
                  <c:v>1.8103000000000001E-2</c:v>
                </c:pt>
                <c:pt idx="15">
                  <c:v>1.4164E-2</c:v>
                </c:pt>
                <c:pt idx="16">
                  <c:v>1.0338999999999999E-2</c:v>
                </c:pt>
                <c:pt idx="17">
                  <c:v>9.4719999999999995E-3</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SVF'!$W$8:$W$37</c:f>
              <c:strCache>
                <c:ptCount val="30"/>
                <c:pt idx="0">
                  <c:v>Banks</c:v>
                </c:pt>
                <c:pt idx="1">
                  <c:v>Petroleum Products</c:v>
                </c:pt>
                <c:pt idx="2">
                  <c:v>IT - Software</c:v>
                </c:pt>
                <c:pt idx="3">
                  <c:v>Pharmaceuticals &amp; Biotechnology</c:v>
                </c:pt>
                <c:pt idx="4">
                  <c:v>Insurance</c:v>
                </c:pt>
                <c:pt idx="5">
                  <c:v>Automobiles</c:v>
                </c:pt>
                <c:pt idx="6">
                  <c:v>Consumer Durables</c:v>
                </c:pt>
                <c:pt idx="7">
                  <c:v>Finance</c:v>
                </c:pt>
                <c:pt idx="8">
                  <c:v>Ferrous Metals</c:v>
                </c:pt>
                <c:pt idx="9">
                  <c:v>Construction</c:v>
                </c:pt>
                <c:pt idx="10">
                  <c:v>Auto Components</c:v>
                </c:pt>
                <c:pt idx="11">
                  <c:v>Electrical Equipment</c:v>
                </c:pt>
                <c:pt idx="12">
                  <c:v>Beverages</c:v>
                </c:pt>
                <c:pt idx="13">
                  <c:v>Realty</c:v>
                </c:pt>
                <c:pt idx="14">
                  <c:v>Diversified FMCG</c:v>
                </c:pt>
                <c:pt idx="15">
                  <c:v>Food Products</c:v>
                </c:pt>
                <c:pt idx="16">
                  <c:v>Retailing</c:v>
                </c:pt>
                <c:pt idx="17">
                  <c:v>Diversified Metals</c:v>
                </c:pt>
                <c:pt idx="18">
                  <c:v>Personal Products</c:v>
                </c:pt>
                <c:pt idx="19">
                  <c:v>Cement &amp; Cement Products</c:v>
                </c:pt>
                <c:pt idx="20">
                  <c:v>Power</c:v>
                </c:pt>
                <c:pt idx="21">
                  <c:v>Transport Services</c:v>
                </c:pt>
                <c:pt idx="22">
                  <c:v>Oil</c:v>
                </c:pt>
                <c:pt idx="23">
                  <c:v>Leisure Services</c:v>
                </c:pt>
                <c:pt idx="24">
                  <c:v>Fertilizers &amp; Agrochemicals</c:v>
                </c:pt>
                <c:pt idx="25">
                  <c:v>Minerals &amp; Mining</c:v>
                </c:pt>
                <c:pt idx="26">
                  <c:v>Commercial Services &amp; Supplies</c:v>
                </c:pt>
                <c:pt idx="27">
                  <c:v>Telecom - Equipment &amp; Accessories</c:v>
                </c:pt>
                <c:pt idx="28">
                  <c:v>Chemicals &amp; Petrochemicals</c:v>
                </c:pt>
                <c:pt idx="29">
                  <c:v>Telecom - Services</c:v>
                </c:pt>
              </c:strCache>
            </c:strRef>
          </c:cat>
          <c:val>
            <c:numRef>
              <c:f>'BANDHAN SVF'!$X$8:$X$37</c:f>
              <c:numCache>
                <c:formatCode>0.00%</c:formatCode>
                <c:ptCount val="30"/>
                <c:pt idx="0">
                  <c:v>0.224134</c:v>
                </c:pt>
                <c:pt idx="1">
                  <c:v>8.2533999999999996E-2</c:v>
                </c:pt>
                <c:pt idx="2">
                  <c:v>6.8611000000000005E-2</c:v>
                </c:pt>
                <c:pt idx="3">
                  <c:v>5.6884000000000004E-2</c:v>
                </c:pt>
                <c:pt idx="4">
                  <c:v>4.9549999999999997E-2</c:v>
                </c:pt>
                <c:pt idx="5">
                  <c:v>4.6672000000000005E-2</c:v>
                </c:pt>
                <c:pt idx="6">
                  <c:v>3.9225999999999997E-2</c:v>
                </c:pt>
                <c:pt idx="7">
                  <c:v>3.6988E-2</c:v>
                </c:pt>
                <c:pt idx="8">
                  <c:v>3.1647000000000002E-2</c:v>
                </c:pt>
                <c:pt idx="9">
                  <c:v>2.6123E-2</c:v>
                </c:pt>
                <c:pt idx="10">
                  <c:v>2.2464000000000001E-2</c:v>
                </c:pt>
                <c:pt idx="11">
                  <c:v>2.0681999999999999E-2</c:v>
                </c:pt>
                <c:pt idx="12">
                  <c:v>2.0604999999999998E-2</c:v>
                </c:pt>
                <c:pt idx="13">
                  <c:v>1.9194000000000003E-2</c:v>
                </c:pt>
                <c:pt idx="14">
                  <c:v>1.8886E-2</c:v>
                </c:pt>
                <c:pt idx="15">
                  <c:v>1.7878000000000002E-2</c:v>
                </c:pt>
                <c:pt idx="16">
                  <c:v>1.7083000000000001E-2</c:v>
                </c:pt>
                <c:pt idx="17">
                  <c:v>1.5304E-2</c:v>
                </c:pt>
                <c:pt idx="18">
                  <c:v>1.5294E-2</c:v>
                </c:pt>
                <c:pt idx="19">
                  <c:v>1.3634E-2</c:v>
                </c:pt>
                <c:pt idx="20">
                  <c:v>1.3408E-2</c:v>
                </c:pt>
                <c:pt idx="21">
                  <c:v>1.0699999999999999E-2</c:v>
                </c:pt>
                <c:pt idx="22">
                  <c:v>9.613E-3</c:v>
                </c:pt>
                <c:pt idx="23">
                  <c:v>9.2759999999999995E-3</c:v>
                </c:pt>
                <c:pt idx="24">
                  <c:v>7.1259999999999995E-3</c:v>
                </c:pt>
                <c:pt idx="25">
                  <c:v>5.359E-3</c:v>
                </c:pt>
                <c:pt idx="26">
                  <c:v>5.2449999999999997E-3</c:v>
                </c:pt>
                <c:pt idx="27">
                  <c:v>4.4780000000000002E-3</c:v>
                </c:pt>
                <c:pt idx="28">
                  <c:v>3.5620000000000001E-3</c:v>
                </c:pt>
                <c:pt idx="29">
                  <c:v>1.6100000000000001E-3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(31st May 2025)</c:v>
                </c:pt>
              </c:strCache>
            </c:strRef>
          </c:tx>
          <c:invertIfNegative val="0"/>
          <c:cat>
            <c:strRef>
              <c:f>'BANDHAN SVF'!$W$8:$W$37</c:f>
              <c:strCache>
                <c:ptCount val="30"/>
                <c:pt idx="0">
                  <c:v>Banks</c:v>
                </c:pt>
                <c:pt idx="1">
                  <c:v>Petroleum Products</c:v>
                </c:pt>
                <c:pt idx="2">
                  <c:v>IT - Software</c:v>
                </c:pt>
                <c:pt idx="3">
                  <c:v>Pharmaceuticals &amp; Biotechnology</c:v>
                </c:pt>
                <c:pt idx="4">
                  <c:v>Insurance</c:v>
                </c:pt>
                <c:pt idx="5">
                  <c:v>Automobiles</c:v>
                </c:pt>
                <c:pt idx="6">
                  <c:v>Consumer Durables</c:v>
                </c:pt>
                <c:pt idx="7">
                  <c:v>Finance</c:v>
                </c:pt>
                <c:pt idx="8">
                  <c:v>Ferrous Metals</c:v>
                </c:pt>
                <c:pt idx="9">
                  <c:v>Construction</c:v>
                </c:pt>
                <c:pt idx="10">
                  <c:v>Auto Components</c:v>
                </c:pt>
                <c:pt idx="11">
                  <c:v>Electrical Equipment</c:v>
                </c:pt>
                <c:pt idx="12">
                  <c:v>Beverages</c:v>
                </c:pt>
                <c:pt idx="13">
                  <c:v>Realty</c:v>
                </c:pt>
                <c:pt idx="14">
                  <c:v>Diversified FMCG</c:v>
                </c:pt>
                <c:pt idx="15">
                  <c:v>Food Products</c:v>
                </c:pt>
                <c:pt idx="16">
                  <c:v>Retailing</c:v>
                </c:pt>
                <c:pt idx="17">
                  <c:v>Diversified Metals</c:v>
                </c:pt>
                <c:pt idx="18">
                  <c:v>Personal Products</c:v>
                </c:pt>
                <c:pt idx="19">
                  <c:v>Cement &amp; Cement Products</c:v>
                </c:pt>
                <c:pt idx="20">
                  <c:v>Power</c:v>
                </c:pt>
                <c:pt idx="21">
                  <c:v>Transport Services</c:v>
                </c:pt>
                <c:pt idx="22">
                  <c:v>Oil</c:v>
                </c:pt>
                <c:pt idx="23">
                  <c:v>Leisure Services</c:v>
                </c:pt>
                <c:pt idx="24">
                  <c:v>Fertilizers &amp; Agrochemicals</c:v>
                </c:pt>
                <c:pt idx="25">
                  <c:v>Minerals &amp; Mining</c:v>
                </c:pt>
                <c:pt idx="26">
                  <c:v>Commercial Services &amp; Supplies</c:v>
                </c:pt>
                <c:pt idx="27">
                  <c:v>Telecom - Equipment &amp; Accessories</c:v>
                </c:pt>
                <c:pt idx="28">
                  <c:v>Chemicals &amp; Petrochemicals</c:v>
                </c:pt>
                <c:pt idx="29">
                  <c:v>Telecom - Services</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Petroleum Products</c:v>
                </c:pt>
                <c:pt idx="2">
                  <c:v>IT - Software</c:v>
                </c:pt>
                <c:pt idx="3">
                  <c:v>Pharmaceuticals &amp; Biotechnology</c:v>
                </c:pt>
                <c:pt idx="4">
                  <c:v>Insurance</c:v>
                </c:pt>
                <c:pt idx="5">
                  <c:v>Automobiles</c:v>
                </c:pt>
                <c:pt idx="6">
                  <c:v>Consumer Durables</c:v>
                </c:pt>
                <c:pt idx="7">
                  <c:v>Finance</c:v>
                </c:pt>
                <c:pt idx="8">
                  <c:v>Ferrous Metals</c:v>
                </c:pt>
                <c:pt idx="9">
                  <c:v>Construction</c:v>
                </c:pt>
                <c:pt idx="10">
                  <c:v>Auto Components</c:v>
                </c:pt>
                <c:pt idx="11">
                  <c:v>Electrical Equipment</c:v>
                </c:pt>
                <c:pt idx="12">
                  <c:v>Beverages</c:v>
                </c:pt>
                <c:pt idx="13">
                  <c:v>Realty</c:v>
                </c:pt>
                <c:pt idx="14">
                  <c:v>Diversified FMCG</c:v>
                </c:pt>
                <c:pt idx="15">
                  <c:v>Food Products</c:v>
                </c:pt>
                <c:pt idx="16">
                  <c:v>Retailing</c:v>
                </c:pt>
                <c:pt idx="17">
                  <c:v>Diversified Metals</c:v>
                </c:pt>
                <c:pt idx="18">
                  <c:v>Personal Products</c:v>
                </c:pt>
                <c:pt idx="19">
                  <c:v>Cement &amp; Cement Products</c:v>
                </c:pt>
                <c:pt idx="20">
                  <c:v>Power</c:v>
                </c:pt>
                <c:pt idx="21">
                  <c:v>Transport Services</c:v>
                </c:pt>
                <c:pt idx="22">
                  <c:v>Oil</c:v>
                </c:pt>
                <c:pt idx="23">
                  <c:v>Leisure Services</c:v>
                </c:pt>
                <c:pt idx="24">
                  <c:v>Fertilizers &amp; Agrochemicals</c:v>
                </c:pt>
                <c:pt idx="25">
                  <c:v>Minerals &amp; Mining</c:v>
                </c:pt>
                <c:pt idx="26">
                  <c:v>Commercial Services &amp; Supplies</c:v>
                </c:pt>
                <c:pt idx="27">
                  <c:v>Telecom - Equipment &amp; Accessories</c:v>
                </c:pt>
              </c:strCache>
            </c:strRef>
          </c:cat>
          <c:val>
            <c:numRef>
              <c:f>'BANDHAN SVF'!$X$8:$X$35</c:f>
              <c:numCache>
                <c:formatCode>0.00%</c:formatCode>
                <c:ptCount val="28"/>
                <c:pt idx="0">
                  <c:v>0.224134</c:v>
                </c:pt>
                <c:pt idx="1">
                  <c:v>8.2533999999999996E-2</c:v>
                </c:pt>
                <c:pt idx="2">
                  <c:v>6.8611000000000005E-2</c:v>
                </c:pt>
                <c:pt idx="3">
                  <c:v>5.6884000000000004E-2</c:v>
                </c:pt>
                <c:pt idx="4">
                  <c:v>4.9549999999999997E-2</c:v>
                </c:pt>
                <c:pt idx="5">
                  <c:v>4.6672000000000005E-2</c:v>
                </c:pt>
                <c:pt idx="6">
                  <c:v>3.9225999999999997E-2</c:v>
                </c:pt>
                <c:pt idx="7">
                  <c:v>3.6988E-2</c:v>
                </c:pt>
                <c:pt idx="8">
                  <c:v>3.1647000000000002E-2</c:v>
                </c:pt>
                <c:pt idx="9">
                  <c:v>2.6123E-2</c:v>
                </c:pt>
                <c:pt idx="10">
                  <c:v>2.2464000000000001E-2</c:v>
                </c:pt>
                <c:pt idx="11">
                  <c:v>2.0681999999999999E-2</c:v>
                </c:pt>
                <c:pt idx="12">
                  <c:v>2.0604999999999998E-2</c:v>
                </c:pt>
                <c:pt idx="13">
                  <c:v>1.9194000000000003E-2</c:v>
                </c:pt>
                <c:pt idx="14">
                  <c:v>1.8886E-2</c:v>
                </c:pt>
                <c:pt idx="15">
                  <c:v>1.7878000000000002E-2</c:v>
                </c:pt>
                <c:pt idx="16">
                  <c:v>1.7083000000000001E-2</c:v>
                </c:pt>
                <c:pt idx="17">
                  <c:v>1.5304E-2</c:v>
                </c:pt>
                <c:pt idx="18">
                  <c:v>1.5294E-2</c:v>
                </c:pt>
                <c:pt idx="19">
                  <c:v>1.3634E-2</c:v>
                </c:pt>
                <c:pt idx="20">
                  <c:v>1.3408E-2</c:v>
                </c:pt>
                <c:pt idx="21">
                  <c:v>1.0699999999999999E-2</c:v>
                </c:pt>
                <c:pt idx="22">
                  <c:v>9.613E-3</c:v>
                </c:pt>
                <c:pt idx="23">
                  <c:v>9.2759999999999995E-3</c:v>
                </c:pt>
                <c:pt idx="24">
                  <c:v>7.1259999999999995E-3</c:v>
                </c:pt>
                <c:pt idx="25">
                  <c:v>5.359E-3</c:v>
                </c:pt>
                <c:pt idx="26">
                  <c:v>5.2449999999999997E-3</c:v>
                </c:pt>
                <c:pt idx="27">
                  <c:v>4.4780000000000002E-3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'BANDHAN-MCAP'!$W$8:$W$38</c:f>
              <c:strCache>
                <c:ptCount val="31"/>
                <c:pt idx="0">
                  <c:v>Electrical Equipment</c:v>
                </c:pt>
                <c:pt idx="1">
                  <c:v>Industrial Products</c:v>
                </c:pt>
                <c:pt idx="2">
                  <c:v>Pharmaceuticals &amp; Biotechnology</c:v>
                </c:pt>
                <c:pt idx="3">
                  <c:v>Consumer Durables</c:v>
                </c:pt>
                <c:pt idx="4">
                  <c:v>Auto Components</c:v>
                </c:pt>
                <c:pt idx="5">
                  <c:v>IT - Software</c:v>
                </c:pt>
                <c:pt idx="6">
                  <c:v>Retailing</c:v>
                </c:pt>
                <c:pt idx="7">
                  <c:v>Healthcare Services</c:v>
                </c:pt>
                <c:pt idx="8">
                  <c:v>Realty</c:v>
                </c:pt>
                <c:pt idx="9">
                  <c:v>Banks</c:v>
                </c:pt>
                <c:pt idx="10">
                  <c:v>Leisure Services</c:v>
                </c:pt>
                <c:pt idx="11">
                  <c:v>Chemicals &amp; Petrochemicals</c:v>
                </c:pt>
                <c:pt idx="12">
                  <c:v>Finance</c:v>
                </c:pt>
                <c:pt idx="13">
                  <c:v>Telecom - Services</c:v>
                </c:pt>
                <c:pt idx="14">
                  <c:v>Financial Technology (Fintech)</c:v>
                </c:pt>
                <c:pt idx="15">
                  <c:v>Fertilizers &amp; Agrochemicals</c:v>
                </c:pt>
                <c:pt idx="16">
                  <c:v>Capital Markets</c:v>
                </c:pt>
                <c:pt idx="17">
                  <c:v>Cement &amp; Cement Products</c:v>
                </c:pt>
                <c:pt idx="18">
                  <c:v>Automobiles</c:v>
                </c:pt>
                <c:pt idx="19">
                  <c:v>Power</c:v>
                </c:pt>
                <c:pt idx="20">
                  <c:v>Industrial Manufacturing</c:v>
                </c:pt>
                <c:pt idx="21">
                  <c:v>IT - Services</c:v>
                </c:pt>
                <c:pt idx="22">
                  <c:v>Aerospace &amp; Defense</c:v>
                </c:pt>
                <c:pt idx="23">
                  <c:v>Insurance</c:v>
                </c:pt>
                <c:pt idx="24">
                  <c:v>Beverages</c:v>
                </c:pt>
                <c:pt idx="25">
                  <c:v>Diversified</c:v>
                </c:pt>
                <c:pt idx="26">
                  <c:v>Ferrous Metals</c:v>
                </c:pt>
                <c:pt idx="27">
                  <c:v>Cigarettes &amp; Tobacco Products</c:v>
                </c:pt>
                <c:pt idx="28">
                  <c:v>Household Products</c:v>
                </c:pt>
                <c:pt idx="29">
                  <c:v>Food Products</c:v>
                </c:pt>
                <c:pt idx="30">
                  <c:v>Commercial Services &amp; Supplies</c:v>
                </c:pt>
              </c:strCache>
            </c:strRef>
          </c:cat>
          <c:val>
            <c:numRef>
              <c:f>'BANDHAN-MCAP'!$X$8:$X$38</c:f>
              <c:numCache>
                <c:formatCode>0.00%</c:formatCode>
                <c:ptCount val="31"/>
                <c:pt idx="0">
                  <c:v>8.6322999999999983E-2</c:v>
                </c:pt>
                <c:pt idx="1">
                  <c:v>8.1879999999999994E-2</c:v>
                </c:pt>
                <c:pt idx="2">
                  <c:v>7.1662999999999991E-2</c:v>
                </c:pt>
                <c:pt idx="3">
                  <c:v>6.6088000000000008E-2</c:v>
                </c:pt>
                <c:pt idx="4">
                  <c:v>6.1384000000000001E-2</c:v>
                </c:pt>
                <c:pt idx="5">
                  <c:v>6.1214000000000005E-2</c:v>
                </c:pt>
                <c:pt idx="6">
                  <c:v>5.2039999999999996E-2</c:v>
                </c:pt>
                <c:pt idx="7">
                  <c:v>4.9875000000000003E-2</c:v>
                </c:pt>
                <c:pt idx="8">
                  <c:v>4.5872999999999997E-2</c:v>
                </c:pt>
                <c:pt idx="9">
                  <c:v>4.1020000000000001E-2</c:v>
                </c:pt>
                <c:pt idx="10">
                  <c:v>3.8730000000000001E-2</c:v>
                </c:pt>
                <c:pt idx="11">
                  <c:v>3.6625999999999992E-2</c:v>
                </c:pt>
                <c:pt idx="12">
                  <c:v>2.9211000000000001E-2</c:v>
                </c:pt>
                <c:pt idx="13">
                  <c:v>2.5256000000000001E-2</c:v>
                </c:pt>
                <c:pt idx="14">
                  <c:v>2.3591999999999998E-2</c:v>
                </c:pt>
                <c:pt idx="15">
                  <c:v>2.1975999999999999E-2</c:v>
                </c:pt>
                <c:pt idx="16">
                  <c:v>2.0844999999999999E-2</c:v>
                </c:pt>
                <c:pt idx="17">
                  <c:v>1.7961000000000001E-2</c:v>
                </c:pt>
                <c:pt idx="18">
                  <c:v>1.5906E-2</c:v>
                </c:pt>
                <c:pt idx="19">
                  <c:v>1.4958000000000001E-2</c:v>
                </c:pt>
                <c:pt idx="20">
                  <c:v>1.3212E-2</c:v>
                </c:pt>
                <c:pt idx="21">
                  <c:v>1.2990000000000002E-2</c:v>
                </c:pt>
                <c:pt idx="22">
                  <c:v>1.0113E-2</c:v>
                </c:pt>
                <c:pt idx="23">
                  <c:v>9.9019999999999993E-3</c:v>
                </c:pt>
                <c:pt idx="24">
                  <c:v>8.8120000000000004E-3</c:v>
                </c:pt>
                <c:pt idx="25">
                  <c:v>7.3860000000000002E-3</c:v>
                </c:pt>
                <c:pt idx="26">
                  <c:v>6.6509999999999998E-3</c:v>
                </c:pt>
                <c:pt idx="27">
                  <c:v>4.8570000000000002E-3</c:v>
                </c:pt>
                <c:pt idx="28">
                  <c:v>4.5319999999999996E-3</c:v>
                </c:pt>
                <c:pt idx="29">
                  <c:v>4.8899999999999996E-4</c:v>
                </c:pt>
                <c:pt idx="30">
                  <c:v>9.1799999999999998E-4</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May 2025)</c:v>
                </c:pt>
              </c:strCache>
            </c:strRef>
          </c:tx>
          <c:invertIfNegative val="0"/>
          <c:cat>
            <c:strRef>
              <c:f>'BANDHAN-MCAP'!$W$8:$W$38</c:f>
              <c:strCache>
                <c:ptCount val="31"/>
                <c:pt idx="0">
                  <c:v>Electrical Equipment</c:v>
                </c:pt>
                <c:pt idx="1">
                  <c:v>Industrial Products</c:v>
                </c:pt>
                <c:pt idx="2">
                  <c:v>Pharmaceuticals &amp; Biotechnology</c:v>
                </c:pt>
                <c:pt idx="3">
                  <c:v>Consumer Durables</c:v>
                </c:pt>
                <c:pt idx="4">
                  <c:v>Auto Components</c:v>
                </c:pt>
                <c:pt idx="5">
                  <c:v>IT - Software</c:v>
                </c:pt>
                <c:pt idx="6">
                  <c:v>Retailing</c:v>
                </c:pt>
                <c:pt idx="7">
                  <c:v>Healthcare Services</c:v>
                </c:pt>
                <c:pt idx="8">
                  <c:v>Realty</c:v>
                </c:pt>
                <c:pt idx="9">
                  <c:v>Banks</c:v>
                </c:pt>
                <c:pt idx="10">
                  <c:v>Leisure Services</c:v>
                </c:pt>
                <c:pt idx="11">
                  <c:v>Chemicals &amp; Petrochemicals</c:v>
                </c:pt>
                <c:pt idx="12">
                  <c:v>Finance</c:v>
                </c:pt>
                <c:pt idx="13">
                  <c:v>Telecom - Services</c:v>
                </c:pt>
                <c:pt idx="14">
                  <c:v>Financial Technology (Fintech)</c:v>
                </c:pt>
                <c:pt idx="15">
                  <c:v>Fertilizers &amp; Agrochemicals</c:v>
                </c:pt>
                <c:pt idx="16">
                  <c:v>Capital Markets</c:v>
                </c:pt>
                <c:pt idx="17">
                  <c:v>Cement &amp; Cement Products</c:v>
                </c:pt>
                <c:pt idx="18">
                  <c:v>Automobiles</c:v>
                </c:pt>
                <c:pt idx="19">
                  <c:v>Power</c:v>
                </c:pt>
                <c:pt idx="20">
                  <c:v>Industrial Manufacturing</c:v>
                </c:pt>
                <c:pt idx="21">
                  <c:v>IT - Services</c:v>
                </c:pt>
                <c:pt idx="22">
                  <c:v>Aerospace &amp; Defense</c:v>
                </c:pt>
                <c:pt idx="23">
                  <c:v>Insurance</c:v>
                </c:pt>
                <c:pt idx="24">
                  <c:v>Beverages</c:v>
                </c:pt>
                <c:pt idx="25">
                  <c:v>Diversified</c:v>
                </c:pt>
                <c:pt idx="26">
                  <c:v>Ferrous Metals</c:v>
                </c:pt>
                <c:pt idx="27">
                  <c:v>Cigarettes &amp; Tobacco Products</c:v>
                </c:pt>
                <c:pt idx="28">
                  <c:v>Household Products</c:v>
                </c:pt>
                <c:pt idx="29">
                  <c:v>Food Products</c:v>
                </c:pt>
                <c:pt idx="30">
                  <c:v>Commercial Services &amp; Supplies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May 2025)</c:v>
                </c:pt>
              </c:strCache>
            </c:strRef>
          </c:tx>
          <c:invertIfNegative val="0"/>
          <c:cat>
            <c:strRef>
              <c:f>'BANDHAN-MCAP'!$W$8:$W$38</c:f>
              <c:strCache>
                <c:ptCount val="31"/>
                <c:pt idx="0">
                  <c:v>Electrical Equipment</c:v>
                </c:pt>
                <c:pt idx="1">
                  <c:v>Industrial Products</c:v>
                </c:pt>
                <c:pt idx="2">
                  <c:v>Pharmaceuticals &amp; Biotechnology</c:v>
                </c:pt>
                <c:pt idx="3">
                  <c:v>Consumer Durables</c:v>
                </c:pt>
                <c:pt idx="4">
                  <c:v>Auto Components</c:v>
                </c:pt>
                <c:pt idx="5">
                  <c:v>IT - Software</c:v>
                </c:pt>
                <c:pt idx="6">
                  <c:v>Retailing</c:v>
                </c:pt>
                <c:pt idx="7">
                  <c:v>Healthcare Services</c:v>
                </c:pt>
                <c:pt idx="8">
                  <c:v>Realty</c:v>
                </c:pt>
                <c:pt idx="9">
                  <c:v>Banks</c:v>
                </c:pt>
                <c:pt idx="10">
                  <c:v>Leisure Services</c:v>
                </c:pt>
                <c:pt idx="11">
                  <c:v>Chemicals &amp; Petrochemicals</c:v>
                </c:pt>
                <c:pt idx="12">
                  <c:v>Finance</c:v>
                </c:pt>
                <c:pt idx="13">
                  <c:v>Telecom - Services</c:v>
                </c:pt>
                <c:pt idx="14">
                  <c:v>Financial Technology (Fintech)</c:v>
                </c:pt>
                <c:pt idx="15">
                  <c:v>Fertilizers &amp; Agrochemicals</c:v>
                </c:pt>
                <c:pt idx="16">
                  <c:v>Capital Markets</c:v>
                </c:pt>
                <c:pt idx="17">
                  <c:v>Cement &amp; Cement Products</c:v>
                </c:pt>
                <c:pt idx="18">
                  <c:v>Automobiles</c:v>
                </c:pt>
                <c:pt idx="19">
                  <c:v>Power</c:v>
                </c:pt>
                <c:pt idx="20">
                  <c:v>Industrial Manufacturing</c:v>
                </c:pt>
                <c:pt idx="21">
                  <c:v>IT - Services</c:v>
                </c:pt>
                <c:pt idx="22">
                  <c:v>Aerospace &amp; Defense</c:v>
                </c:pt>
                <c:pt idx="23">
                  <c:v>Insurance</c:v>
                </c:pt>
                <c:pt idx="24">
                  <c:v>Beverages</c:v>
                </c:pt>
                <c:pt idx="25">
                  <c:v>Diversified</c:v>
                </c:pt>
                <c:pt idx="26">
                  <c:v>Ferrous Metals</c:v>
                </c:pt>
                <c:pt idx="27">
                  <c:v>Cigarettes &amp; Tobacco Products</c:v>
                </c:pt>
                <c:pt idx="28">
                  <c:v>Household Products</c:v>
                </c:pt>
                <c:pt idx="29">
                  <c:v>Food Products</c:v>
                </c:pt>
                <c:pt idx="30">
                  <c:v>Commercial Services &amp; Supplies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MCF'!$W$8:$W$42</c:f>
              <c:strCache>
                <c:ptCount val="35"/>
                <c:pt idx="0">
                  <c:v>Banks</c:v>
                </c:pt>
                <c:pt idx="1">
                  <c:v>Pharmaceuticals &amp; Biotechnology</c:v>
                </c:pt>
                <c:pt idx="2">
                  <c:v>Finance</c:v>
                </c:pt>
                <c:pt idx="3">
                  <c:v>Petroleum Products</c:v>
                </c:pt>
                <c:pt idx="4">
                  <c:v>Insurance</c:v>
                </c:pt>
                <c:pt idx="5">
                  <c:v>IT - Software</c:v>
                </c:pt>
                <c:pt idx="6">
                  <c:v>Retailing</c:v>
                </c:pt>
                <c:pt idx="7">
                  <c:v>Auto Components</c:v>
                </c:pt>
                <c:pt idx="8">
                  <c:v>Consumer Durables</c:v>
                </c:pt>
                <c:pt idx="9">
                  <c:v>Industrial Products</c:v>
                </c:pt>
                <c:pt idx="10">
                  <c:v>Food Products</c:v>
                </c:pt>
                <c:pt idx="11">
                  <c:v>Automobiles</c:v>
                </c:pt>
                <c:pt idx="12">
                  <c:v>Construction</c:v>
                </c:pt>
                <c:pt idx="13">
                  <c:v>Fertilizers &amp; Agrochemicals</c:v>
                </c:pt>
                <c:pt idx="14">
                  <c:v>Realty</c:v>
                </c:pt>
                <c:pt idx="15">
                  <c:v>Industrial Manufacturing</c:v>
                </c:pt>
                <c:pt idx="16">
                  <c:v>Telecom - Services</c:v>
                </c:pt>
                <c:pt idx="17">
                  <c:v>Personal Products</c:v>
                </c:pt>
                <c:pt idx="18">
                  <c:v>Leisure Services</c:v>
                </c:pt>
                <c:pt idx="19">
                  <c:v>Beverages</c:v>
                </c:pt>
                <c:pt idx="20">
                  <c:v>Commercial Services &amp; Supplies</c:v>
                </c:pt>
                <c:pt idx="21">
                  <c:v>Cement &amp; Cement Products</c:v>
                </c:pt>
                <c:pt idx="22">
                  <c:v>IT - Services</c:v>
                </c:pt>
                <c:pt idx="23">
                  <c:v>Ferrous Metals</c:v>
                </c:pt>
                <c:pt idx="24">
                  <c:v>Diversified Metals</c:v>
                </c:pt>
                <c:pt idx="25">
                  <c:v>Gas</c:v>
                </c:pt>
                <c:pt idx="26">
                  <c:v>Electrical Equipment</c:v>
                </c:pt>
                <c:pt idx="27">
                  <c:v>Telecom - Equipment &amp; Accessories</c:v>
                </c:pt>
                <c:pt idx="28">
                  <c:v>Minerals &amp; Mining</c:v>
                </c:pt>
                <c:pt idx="29">
                  <c:v>Oil</c:v>
                </c:pt>
                <c:pt idx="30">
                  <c:v>Chemicals &amp; Petrochemicals</c:v>
                </c:pt>
                <c:pt idx="31">
                  <c:v>Diversified FMCG</c:v>
                </c:pt>
                <c:pt idx="32">
                  <c:v>Healthcare Services</c:v>
                </c:pt>
                <c:pt idx="33">
                  <c:v>Power</c:v>
                </c:pt>
                <c:pt idx="34">
                  <c:v>Diversified</c:v>
                </c:pt>
              </c:strCache>
            </c:strRef>
          </c:cat>
          <c:val>
            <c:numRef>
              <c:f>'BANDHAN MCF'!$X$8:$X$42</c:f>
              <c:numCache>
                <c:formatCode>0.00%</c:formatCode>
                <c:ptCount val="35"/>
                <c:pt idx="0">
                  <c:v>0.176348</c:v>
                </c:pt>
                <c:pt idx="1">
                  <c:v>7.6242000000000004E-2</c:v>
                </c:pt>
                <c:pt idx="2">
                  <c:v>6.3744000000000009E-2</c:v>
                </c:pt>
                <c:pt idx="3">
                  <c:v>5.4154999999999995E-2</c:v>
                </c:pt>
                <c:pt idx="4">
                  <c:v>4.7784E-2</c:v>
                </c:pt>
                <c:pt idx="5">
                  <c:v>4.1699E-2</c:v>
                </c:pt>
                <c:pt idx="6">
                  <c:v>3.8690000000000002E-2</c:v>
                </c:pt>
                <c:pt idx="7">
                  <c:v>3.7962999999999997E-2</c:v>
                </c:pt>
                <c:pt idx="8">
                  <c:v>3.7798999999999999E-2</c:v>
                </c:pt>
                <c:pt idx="9">
                  <c:v>2.7654999999999999E-2</c:v>
                </c:pt>
                <c:pt idx="10">
                  <c:v>2.733E-2</c:v>
                </c:pt>
                <c:pt idx="11">
                  <c:v>2.6585999999999999E-2</c:v>
                </c:pt>
                <c:pt idx="12">
                  <c:v>2.6499999999999999E-2</c:v>
                </c:pt>
                <c:pt idx="13">
                  <c:v>2.6397999999999998E-2</c:v>
                </c:pt>
                <c:pt idx="14">
                  <c:v>2.5972999999999996E-2</c:v>
                </c:pt>
                <c:pt idx="15">
                  <c:v>2.1263000000000001E-2</c:v>
                </c:pt>
                <c:pt idx="16">
                  <c:v>1.7149000000000001E-2</c:v>
                </c:pt>
                <c:pt idx="17">
                  <c:v>1.6456999999999999E-2</c:v>
                </c:pt>
                <c:pt idx="18">
                  <c:v>1.6404000000000002E-2</c:v>
                </c:pt>
                <c:pt idx="19">
                  <c:v>1.5106E-2</c:v>
                </c:pt>
                <c:pt idx="20">
                  <c:v>1.3903E-2</c:v>
                </c:pt>
                <c:pt idx="21">
                  <c:v>1.3315E-2</c:v>
                </c:pt>
                <c:pt idx="22">
                  <c:v>1.1891000000000001E-2</c:v>
                </c:pt>
                <c:pt idx="23">
                  <c:v>1.1783E-2</c:v>
                </c:pt>
                <c:pt idx="24">
                  <c:v>1.1649E-2</c:v>
                </c:pt>
                <c:pt idx="25">
                  <c:v>1.0349000000000001E-2</c:v>
                </c:pt>
                <c:pt idx="26">
                  <c:v>9.8390000000000005E-3</c:v>
                </c:pt>
                <c:pt idx="27">
                  <c:v>8.2459999999999999E-3</c:v>
                </c:pt>
                <c:pt idx="28">
                  <c:v>8.1580000000000003E-3</c:v>
                </c:pt>
                <c:pt idx="29">
                  <c:v>8.1539999999999998E-3</c:v>
                </c:pt>
                <c:pt idx="30">
                  <c:v>7.8320000000000004E-3</c:v>
                </c:pt>
                <c:pt idx="31">
                  <c:v>6.3889999999999997E-3</c:v>
                </c:pt>
                <c:pt idx="32">
                  <c:v>5.2579999999999997E-3</c:v>
                </c:pt>
                <c:pt idx="33">
                  <c:v>5.1029999999999999E-3</c:v>
                </c:pt>
                <c:pt idx="34">
                  <c:v>5.0340000000000003E-3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May 2025)</c:v>
                </c:pt>
              </c:strCache>
            </c:strRef>
          </c:tx>
          <c:invertIfNegative val="0"/>
          <c:cat>
            <c:strRef>
              <c:f>'BANDHAN MCF'!$W$8:$W$42</c:f>
              <c:strCache>
                <c:ptCount val="35"/>
                <c:pt idx="0">
                  <c:v>Banks</c:v>
                </c:pt>
                <c:pt idx="1">
                  <c:v>Pharmaceuticals &amp; Biotechnology</c:v>
                </c:pt>
                <c:pt idx="2">
                  <c:v>Finance</c:v>
                </c:pt>
                <c:pt idx="3">
                  <c:v>Petroleum Products</c:v>
                </c:pt>
                <c:pt idx="4">
                  <c:v>Insurance</c:v>
                </c:pt>
                <c:pt idx="5">
                  <c:v>IT - Software</c:v>
                </c:pt>
                <c:pt idx="6">
                  <c:v>Retailing</c:v>
                </c:pt>
                <c:pt idx="7">
                  <c:v>Auto Components</c:v>
                </c:pt>
                <c:pt idx="8">
                  <c:v>Consumer Durables</c:v>
                </c:pt>
                <c:pt idx="9">
                  <c:v>Industrial Products</c:v>
                </c:pt>
                <c:pt idx="10">
                  <c:v>Food Products</c:v>
                </c:pt>
                <c:pt idx="11">
                  <c:v>Automobiles</c:v>
                </c:pt>
                <c:pt idx="12">
                  <c:v>Construction</c:v>
                </c:pt>
                <c:pt idx="13">
                  <c:v>Fertilizers &amp; Agrochemicals</c:v>
                </c:pt>
                <c:pt idx="14">
                  <c:v>Realty</c:v>
                </c:pt>
                <c:pt idx="15">
                  <c:v>Industrial Manufacturing</c:v>
                </c:pt>
                <c:pt idx="16">
                  <c:v>Telecom - Services</c:v>
                </c:pt>
                <c:pt idx="17">
                  <c:v>Personal Products</c:v>
                </c:pt>
                <c:pt idx="18">
                  <c:v>Leisure Services</c:v>
                </c:pt>
                <c:pt idx="19">
                  <c:v>Beverages</c:v>
                </c:pt>
                <c:pt idx="20">
                  <c:v>Commercial Services &amp; Supplies</c:v>
                </c:pt>
                <c:pt idx="21">
                  <c:v>Cement &amp; Cement Products</c:v>
                </c:pt>
                <c:pt idx="22">
                  <c:v>IT - Services</c:v>
                </c:pt>
                <c:pt idx="23">
                  <c:v>Ferrous Metals</c:v>
                </c:pt>
                <c:pt idx="24">
                  <c:v>Diversified Metals</c:v>
                </c:pt>
                <c:pt idx="25">
                  <c:v>Gas</c:v>
                </c:pt>
                <c:pt idx="26">
                  <c:v>Electrical Equipment</c:v>
                </c:pt>
                <c:pt idx="27">
                  <c:v>Telecom - Equipment &amp; Accessories</c:v>
                </c:pt>
                <c:pt idx="28">
                  <c:v>Minerals &amp; Mining</c:v>
                </c:pt>
                <c:pt idx="29">
                  <c:v>Oil</c:v>
                </c:pt>
                <c:pt idx="30">
                  <c:v>Chemicals &amp; Petrochemicals</c:v>
                </c:pt>
                <c:pt idx="31">
                  <c:v>Diversified FMCG</c:v>
                </c:pt>
                <c:pt idx="32">
                  <c:v>Healthcare Services</c:v>
                </c:pt>
                <c:pt idx="33">
                  <c:v>Power</c:v>
                </c:pt>
                <c:pt idx="34">
                  <c:v>Diversified</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FCF'!$W$8:$W$37</c:f>
              <c:strCache>
                <c:ptCount val="30"/>
                <c:pt idx="0">
                  <c:v>Banks</c:v>
                </c:pt>
                <c:pt idx="1">
                  <c:v>IT - Software</c:v>
                </c:pt>
                <c:pt idx="2">
                  <c:v>Retailing</c:v>
                </c:pt>
                <c:pt idx="3">
                  <c:v>Automobiles</c:v>
                </c:pt>
                <c:pt idx="4">
                  <c:v>Petroleum Products</c:v>
                </c:pt>
                <c:pt idx="5">
                  <c:v>Pharmaceuticals &amp; Biotechnology</c:v>
                </c:pt>
                <c:pt idx="6">
                  <c:v>Finance</c:v>
                </c:pt>
                <c:pt idx="7">
                  <c:v>Consumer Durables</c:v>
                </c:pt>
                <c:pt idx="8">
                  <c:v>Insurance</c:v>
                </c:pt>
                <c:pt idx="9">
                  <c:v>Telecom - Services</c:v>
                </c:pt>
                <c:pt idx="10">
                  <c:v>Diversified FMCG</c:v>
                </c:pt>
                <c:pt idx="11">
                  <c:v>Realty</c:v>
                </c:pt>
                <c:pt idx="12">
                  <c:v>Cement &amp; Cement Products</c:v>
                </c:pt>
                <c:pt idx="13">
                  <c:v>Electrical Equipment</c:v>
                </c:pt>
                <c:pt idx="14">
                  <c:v>Leisure Services</c:v>
                </c:pt>
                <c:pt idx="15">
                  <c:v>Beverages</c:v>
                </c:pt>
                <c:pt idx="16">
                  <c:v>Ferrous Metals</c:v>
                </c:pt>
                <c:pt idx="17">
                  <c:v>Construction</c:v>
                </c:pt>
                <c:pt idx="18">
                  <c:v>Minerals &amp; Mining</c:v>
                </c:pt>
                <c:pt idx="19">
                  <c:v>Diversified Metals</c:v>
                </c:pt>
                <c:pt idx="20">
                  <c:v>Healthcare Services</c:v>
                </c:pt>
                <c:pt idx="21">
                  <c:v>Telecom - Equipment &amp; Accessories</c:v>
                </c:pt>
                <c:pt idx="22">
                  <c:v>Transport Services</c:v>
                </c:pt>
                <c:pt idx="23">
                  <c:v>Financial Technology (Fintech)</c:v>
                </c:pt>
                <c:pt idx="24">
                  <c:v>Food Products</c:v>
                </c:pt>
                <c:pt idx="25">
                  <c:v>Capital Markets</c:v>
                </c:pt>
                <c:pt idx="26">
                  <c:v>Commercial Services &amp; Supplies</c:v>
                </c:pt>
                <c:pt idx="27">
                  <c:v>Fertilizers &amp; Agrochemicals</c:v>
                </c:pt>
                <c:pt idx="28">
                  <c:v>Auto Components</c:v>
                </c:pt>
                <c:pt idx="29">
                  <c:v>IT - Services</c:v>
                </c:pt>
              </c:strCache>
            </c:strRef>
          </c:cat>
          <c:val>
            <c:numRef>
              <c:f>'BANDHAN FCF'!$X$8:$X$37</c:f>
              <c:numCache>
                <c:formatCode>0.0%</c:formatCode>
                <c:ptCount val="30"/>
                <c:pt idx="0">
                  <c:v>0.27030599999999994</c:v>
                </c:pt>
                <c:pt idx="1">
                  <c:v>8.3778999999999992E-2</c:v>
                </c:pt>
                <c:pt idx="2">
                  <c:v>7.9822000000000004E-2</c:v>
                </c:pt>
                <c:pt idx="3">
                  <c:v>7.3783999999999988E-2</c:v>
                </c:pt>
                <c:pt idx="4">
                  <c:v>6.1806E-2</c:v>
                </c:pt>
                <c:pt idx="5">
                  <c:v>4.9498E-2</c:v>
                </c:pt>
                <c:pt idx="6">
                  <c:v>4.9304000000000001E-2</c:v>
                </c:pt>
                <c:pt idx="7">
                  <c:v>4.0112000000000002E-2</c:v>
                </c:pt>
                <c:pt idx="8">
                  <c:v>2.7754999999999998E-2</c:v>
                </c:pt>
                <c:pt idx="9">
                  <c:v>2.2330000000000003E-2</c:v>
                </c:pt>
                <c:pt idx="10">
                  <c:v>1.9540000000000002E-2</c:v>
                </c:pt>
                <c:pt idx="11">
                  <c:v>1.6354E-2</c:v>
                </c:pt>
                <c:pt idx="12">
                  <c:v>1.515E-2</c:v>
                </c:pt>
                <c:pt idx="13">
                  <c:v>1.4935E-2</c:v>
                </c:pt>
                <c:pt idx="14">
                  <c:v>1.3482999999999998E-2</c:v>
                </c:pt>
                <c:pt idx="15">
                  <c:v>1.1365E-2</c:v>
                </c:pt>
                <c:pt idx="16">
                  <c:v>1.1285999999999999E-2</c:v>
                </c:pt>
                <c:pt idx="17">
                  <c:v>1.0248E-2</c:v>
                </c:pt>
                <c:pt idx="18">
                  <c:v>1.0061E-2</c:v>
                </c:pt>
                <c:pt idx="19">
                  <c:v>9.4730000000000005E-3</c:v>
                </c:pt>
                <c:pt idx="20">
                  <c:v>8.4169999999999991E-3</c:v>
                </c:pt>
                <c:pt idx="21">
                  <c:v>6.7999999999999996E-3</c:v>
                </c:pt>
                <c:pt idx="22">
                  <c:v>6.5209999999999999E-3</c:v>
                </c:pt>
                <c:pt idx="23">
                  <c:v>5.986E-3</c:v>
                </c:pt>
                <c:pt idx="24">
                  <c:v>5.5370000000000003E-3</c:v>
                </c:pt>
                <c:pt idx="25">
                  <c:v>5.2160000000000002E-3</c:v>
                </c:pt>
                <c:pt idx="26">
                  <c:v>4.9810000000000002E-3</c:v>
                </c:pt>
                <c:pt idx="27">
                  <c:v>3.7799999999999999E-3</c:v>
                </c:pt>
                <c:pt idx="28">
                  <c:v>3.4039999999999999E-3</c:v>
                </c:pt>
                <c:pt idx="29">
                  <c:v>1.6739999999999999E-3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SCF'!$W$8:$W$54</c:f>
              <c:strCache>
                <c:ptCount val="47"/>
                <c:pt idx="0">
                  <c:v>Finance</c:v>
                </c:pt>
                <c:pt idx="1">
                  <c:v>Pharmaceuticals &amp; Biotechnology</c:v>
                </c:pt>
                <c:pt idx="2">
                  <c:v>Realty</c:v>
                </c:pt>
                <c:pt idx="3">
                  <c:v>Banks</c:v>
                </c:pt>
                <c:pt idx="4">
                  <c:v>Chemicals &amp; Petrochemicals</c:v>
                </c:pt>
                <c:pt idx="5">
                  <c:v>Electrical Equipment</c:v>
                </c:pt>
                <c:pt idx="6">
                  <c:v>Capital Markets</c:v>
                </c:pt>
                <c:pt idx="7">
                  <c:v>Textiles &amp; Apparels</c:v>
                </c:pt>
                <c:pt idx="8">
                  <c:v>Industrial Products</c:v>
                </c:pt>
                <c:pt idx="9">
                  <c:v>Consumer Durables</c:v>
                </c:pt>
                <c:pt idx="10">
                  <c:v>Agricultural Food &amp; other Products</c:v>
                </c:pt>
                <c:pt idx="11">
                  <c:v>Healthcare Services</c:v>
                </c:pt>
                <c:pt idx="12">
                  <c:v>Auto Components</c:v>
                </c:pt>
                <c:pt idx="13">
                  <c:v>Commercial Services &amp; Supplies</c:v>
                </c:pt>
                <c:pt idx="14">
                  <c:v>Retailing</c:v>
                </c:pt>
                <c:pt idx="15">
                  <c:v>Transport Services</c:v>
                </c:pt>
                <c:pt idx="16">
                  <c:v>IT - Services</c:v>
                </c:pt>
                <c:pt idx="17">
                  <c:v>Leisure Services</c:v>
                </c:pt>
                <c:pt idx="18">
                  <c:v>Construction</c:v>
                </c:pt>
                <c:pt idx="19">
                  <c:v>Power</c:v>
                </c:pt>
                <c:pt idx="20">
                  <c:v>Industrial Manufacturing</c:v>
                </c:pt>
                <c:pt idx="21">
                  <c:v>Beverages</c:v>
                </c:pt>
                <c:pt idx="22">
                  <c:v>IT - Hardware</c:v>
                </c:pt>
                <c:pt idx="23">
                  <c:v>IT - Software</c:v>
                </c:pt>
                <c:pt idx="24">
                  <c:v>Diversified Metals</c:v>
                </c:pt>
                <c:pt idx="25">
                  <c:v>Ferrous Metals</c:v>
                </c:pt>
                <c:pt idx="26">
                  <c:v>Food Products</c:v>
                </c:pt>
                <c:pt idx="27">
                  <c:v>Petroleum Products</c:v>
                </c:pt>
                <c:pt idx="28">
                  <c:v>Paper, Forest &amp; Jute Products</c:v>
                </c:pt>
                <c:pt idx="29">
                  <c:v>Diversified</c:v>
                </c:pt>
                <c:pt idx="30">
                  <c:v>Other Consumer Services</c:v>
                </c:pt>
                <c:pt idx="31">
                  <c:v>Non - Ferrous Metals</c:v>
                </c:pt>
                <c:pt idx="32">
                  <c:v>Household Products</c:v>
                </c:pt>
                <c:pt idx="33">
                  <c:v>Entertainment</c:v>
                </c:pt>
                <c:pt idx="34">
                  <c:v>Fertilizers &amp; Agrochemicals</c:v>
                </c:pt>
                <c:pt idx="35">
                  <c:v>Other Utilities</c:v>
                </c:pt>
                <c:pt idx="36">
                  <c:v>Cement &amp; Cement Products</c:v>
                </c:pt>
                <c:pt idx="37">
                  <c:v>Personal Products</c:v>
                </c:pt>
                <c:pt idx="38">
                  <c:v>Gas</c:v>
                </c:pt>
                <c:pt idx="39">
                  <c:v>Insurance</c:v>
                </c:pt>
                <c:pt idx="40">
                  <c:v>Telecom - Equipment &amp; Accessories</c:v>
                </c:pt>
                <c:pt idx="41">
                  <c:v>Miscellaneous</c:v>
                </c:pt>
                <c:pt idx="42">
                  <c:v>Minerals &amp; Mining</c:v>
                </c:pt>
                <c:pt idx="43">
                  <c:v>Automobiles</c:v>
                </c:pt>
                <c:pt idx="44">
                  <c:v>Diversified FMCG</c:v>
                </c:pt>
                <c:pt idx="45">
                  <c:v>Healthcare Equipment &amp; Supplies</c:v>
                </c:pt>
                <c:pt idx="46">
                  <c:v>Telecom - Services</c:v>
                </c:pt>
              </c:strCache>
            </c:strRef>
          </c:cat>
          <c:val>
            <c:numRef>
              <c:f>'BANDHAN SCF'!$X$8:$X$54</c:f>
              <c:numCache>
                <c:formatCode>0.00%</c:formatCode>
                <c:ptCount val="47"/>
                <c:pt idx="0">
                  <c:v>0.10655699999999999</c:v>
                </c:pt>
                <c:pt idx="1">
                  <c:v>8.4350999999999995E-2</c:v>
                </c:pt>
                <c:pt idx="2">
                  <c:v>8.4147E-2</c:v>
                </c:pt>
                <c:pt idx="3">
                  <c:v>6.1826000000000006E-2</c:v>
                </c:pt>
                <c:pt idx="4">
                  <c:v>4.6816000000000003E-2</c:v>
                </c:pt>
                <c:pt idx="5">
                  <c:v>4.2596000000000002E-2</c:v>
                </c:pt>
                <c:pt idx="6">
                  <c:v>4.1218000000000005E-2</c:v>
                </c:pt>
                <c:pt idx="7">
                  <c:v>4.0789999999999993E-2</c:v>
                </c:pt>
                <c:pt idx="8">
                  <c:v>4.0238999999999997E-2</c:v>
                </c:pt>
                <c:pt idx="9">
                  <c:v>3.4312999999999996E-2</c:v>
                </c:pt>
                <c:pt idx="10">
                  <c:v>2.8840000000000001E-2</c:v>
                </c:pt>
                <c:pt idx="11">
                  <c:v>2.8097E-2</c:v>
                </c:pt>
                <c:pt idx="12">
                  <c:v>2.7588999999999999E-2</c:v>
                </c:pt>
                <c:pt idx="13">
                  <c:v>1.9216E-2</c:v>
                </c:pt>
                <c:pt idx="14">
                  <c:v>1.6369000000000002E-2</c:v>
                </c:pt>
                <c:pt idx="15">
                  <c:v>1.5731999999999999E-2</c:v>
                </c:pt>
                <c:pt idx="16">
                  <c:v>1.4716E-2</c:v>
                </c:pt>
                <c:pt idx="17">
                  <c:v>1.3769999999999999E-2</c:v>
                </c:pt>
                <c:pt idx="18">
                  <c:v>1.3382E-2</c:v>
                </c:pt>
                <c:pt idx="19">
                  <c:v>1.1244000000000001E-2</c:v>
                </c:pt>
                <c:pt idx="20">
                  <c:v>1.0586E-2</c:v>
                </c:pt>
                <c:pt idx="21">
                  <c:v>9.7810000000000015E-3</c:v>
                </c:pt>
                <c:pt idx="22">
                  <c:v>9.1830000000000002E-3</c:v>
                </c:pt>
                <c:pt idx="23">
                  <c:v>9.0219999999999988E-3</c:v>
                </c:pt>
                <c:pt idx="24">
                  <c:v>8.0540000000000004E-3</c:v>
                </c:pt>
                <c:pt idx="25">
                  <c:v>6.5709999999999996E-3</c:v>
                </c:pt>
                <c:pt idx="26">
                  <c:v>5.0489999999999997E-3</c:v>
                </c:pt>
                <c:pt idx="27">
                  <c:v>4.9870000000000001E-3</c:v>
                </c:pt>
                <c:pt idx="28">
                  <c:v>4.7980000000000002E-3</c:v>
                </c:pt>
                <c:pt idx="29">
                  <c:v>3.1480000000000002E-3</c:v>
                </c:pt>
                <c:pt idx="30">
                  <c:v>3.081E-3</c:v>
                </c:pt>
                <c:pt idx="31">
                  <c:v>2.5950000000000001E-3</c:v>
                </c:pt>
                <c:pt idx="32">
                  <c:v>2.5799999999999998E-3</c:v>
                </c:pt>
                <c:pt idx="33">
                  <c:v>2.3809999999999999E-3</c:v>
                </c:pt>
                <c:pt idx="34">
                  <c:v>2.1810000000000002E-3</c:v>
                </c:pt>
                <c:pt idx="35">
                  <c:v>2.019E-3</c:v>
                </c:pt>
                <c:pt idx="36">
                  <c:v>1.843E-3</c:v>
                </c:pt>
                <c:pt idx="37">
                  <c:v>1.748E-3</c:v>
                </c:pt>
                <c:pt idx="38">
                  <c:v>1.725E-3</c:v>
                </c:pt>
                <c:pt idx="39">
                  <c:v>1.529E-3</c:v>
                </c:pt>
                <c:pt idx="40">
                  <c:v>1.4450000000000001E-3</c:v>
                </c:pt>
                <c:pt idx="41">
                  <c:v>1.0219999999999999E-3</c:v>
                </c:pt>
                <c:pt idx="42">
                  <c:v>8.9300000000000002E-4</c:v>
                </c:pt>
                <c:pt idx="43">
                  <c:v>8.92E-4</c:v>
                </c:pt>
                <c:pt idx="44">
                  <c:v>8.5300000000000003E-4</c:v>
                </c:pt>
                <c:pt idx="45">
                  <c:v>5.2599999999999999E-4</c:v>
                </c:pt>
                <c:pt idx="46">
                  <c:v>5.1999999999999995E-4</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May 2025)</c:v>
                </c:pt>
              </c:strCache>
            </c:strRef>
          </c:tx>
          <c:invertIfNegative val="0"/>
          <c:cat>
            <c:strRef>
              <c:f>'BANDHAN SCF'!$W$8:$W$54</c:f>
              <c:strCache>
                <c:ptCount val="47"/>
                <c:pt idx="0">
                  <c:v>Finance</c:v>
                </c:pt>
                <c:pt idx="1">
                  <c:v>Pharmaceuticals &amp; Biotechnology</c:v>
                </c:pt>
                <c:pt idx="2">
                  <c:v>Realty</c:v>
                </c:pt>
                <c:pt idx="3">
                  <c:v>Banks</c:v>
                </c:pt>
                <c:pt idx="4">
                  <c:v>Chemicals &amp; Petrochemicals</c:v>
                </c:pt>
                <c:pt idx="5">
                  <c:v>Electrical Equipment</c:v>
                </c:pt>
                <c:pt idx="6">
                  <c:v>Capital Markets</c:v>
                </c:pt>
                <c:pt idx="7">
                  <c:v>Textiles &amp; Apparels</c:v>
                </c:pt>
                <c:pt idx="8">
                  <c:v>Industrial Products</c:v>
                </c:pt>
                <c:pt idx="9">
                  <c:v>Consumer Durables</c:v>
                </c:pt>
                <c:pt idx="10">
                  <c:v>Agricultural Food &amp; other Products</c:v>
                </c:pt>
                <c:pt idx="11">
                  <c:v>Healthcare Services</c:v>
                </c:pt>
                <c:pt idx="12">
                  <c:v>Auto Components</c:v>
                </c:pt>
                <c:pt idx="13">
                  <c:v>Commercial Services &amp; Supplies</c:v>
                </c:pt>
                <c:pt idx="14">
                  <c:v>Retailing</c:v>
                </c:pt>
                <c:pt idx="15">
                  <c:v>Transport Services</c:v>
                </c:pt>
                <c:pt idx="16">
                  <c:v>IT - Services</c:v>
                </c:pt>
                <c:pt idx="17">
                  <c:v>Leisure Services</c:v>
                </c:pt>
                <c:pt idx="18">
                  <c:v>Construction</c:v>
                </c:pt>
                <c:pt idx="19">
                  <c:v>Power</c:v>
                </c:pt>
                <c:pt idx="20">
                  <c:v>Industrial Manufacturing</c:v>
                </c:pt>
                <c:pt idx="21">
                  <c:v>Beverages</c:v>
                </c:pt>
                <c:pt idx="22">
                  <c:v>IT - Hardware</c:v>
                </c:pt>
                <c:pt idx="23">
                  <c:v>IT - Software</c:v>
                </c:pt>
                <c:pt idx="24">
                  <c:v>Diversified Metals</c:v>
                </c:pt>
                <c:pt idx="25">
                  <c:v>Ferrous Metals</c:v>
                </c:pt>
                <c:pt idx="26">
                  <c:v>Food Products</c:v>
                </c:pt>
                <c:pt idx="27">
                  <c:v>Petroleum Products</c:v>
                </c:pt>
                <c:pt idx="28">
                  <c:v>Paper, Forest &amp; Jute Products</c:v>
                </c:pt>
                <c:pt idx="29">
                  <c:v>Diversified</c:v>
                </c:pt>
                <c:pt idx="30">
                  <c:v>Other Consumer Services</c:v>
                </c:pt>
                <c:pt idx="31">
                  <c:v>Non - Ferrous Metals</c:v>
                </c:pt>
                <c:pt idx="32">
                  <c:v>Household Products</c:v>
                </c:pt>
                <c:pt idx="33">
                  <c:v>Entertainment</c:v>
                </c:pt>
                <c:pt idx="34">
                  <c:v>Fertilizers &amp; Agrochemicals</c:v>
                </c:pt>
                <c:pt idx="35">
                  <c:v>Other Utilities</c:v>
                </c:pt>
                <c:pt idx="36">
                  <c:v>Cement &amp; Cement Products</c:v>
                </c:pt>
                <c:pt idx="37">
                  <c:v>Personal Products</c:v>
                </c:pt>
                <c:pt idx="38">
                  <c:v>Gas</c:v>
                </c:pt>
                <c:pt idx="39">
                  <c:v>Insurance</c:v>
                </c:pt>
                <c:pt idx="40">
                  <c:v>Telecom - Equipment &amp; Accessories</c:v>
                </c:pt>
                <c:pt idx="41">
                  <c:v>Miscellaneous</c:v>
                </c:pt>
                <c:pt idx="42">
                  <c:v>Minerals &amp; Mining</c:v>
                </c:pt>
                <c:pt idx="43">
                  <c:v>Automobiles</c:v>
                </c:pt>
                <c:pt idx="44">
                  <c:v>Diversified FMCG</c:v>
                </c:pt>
                <c:pt idx="45">
                  <c:v>Healthcare Equipment &amp; Supplies</c:v>
                </c:pt>
                <c:pt idx="46">
                  <c:v>Telecom - Services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May 2025)</c:v>
                </c:pt>
              </c:strCache>
            </c:strRef>
          </c:tx>
          <c:invertIfNegative val="0"/>
          <c:cat>
            <c:strRef>
              <c:f>'BANDHAN SCF'!$W$8:$W$54</c:f>
              <c:strCache>
                <c:ptCount val="47"/>
                <c:pt idx="0">
                  <c:v>Finance</c:v>
                </c:pt>
                <c:pt idx="1">
                  <c:v>Pharmaceuticals &amp; Biotechnology</c:v>
                </c:pt>
                <c:pt idx="2">
                  <c:v>Realty</c:v>
                </c:pt>
                <c:pt idx="3">
                  <c:v>Banks</c:v>
                </c:pt>
                <c:pt idx="4">
                  <c:v>Chemicals &amp; Petrochemicals</c:v>
                </c:pt>
                <c:pt idx="5">
                  <c:v>Electrical Equipment</c:v>
                </c:pt>
                <c:pt idx="6">
                  <c:v>Capital Markets</c:v>
                </c:pt>
                <c:pt idx="7">
                  <c:v>Textiles &amp; Apparels</c:v>
                </c:pt>
                <c:pt idx="8">
                  <c:v>Industrial Products</c:v>
                </c:pt>
                <c:pt idx="9">
                  <c:v>Consumer Durables</c:v>
                </c:pt>
                <c:pt idx="10">
                  <c:v>Agricultural Food &amp; other Products</c:v>
                </c:pt>
                <c:pt idx="11">
                  <c:v>Healthcare Services</c:v>
                </c:pt>
                <c:pt idx="12">
                  <c:v>Auto Components</c:v>
                </c:pt>
                <c:pt idx="13">
                  <c:v>Commercial Services &amp; Supplies</c:v>
                </c:pt>
                <c:pt idx="14">
                  <c:v>Retailing</c:v>
                </c:pt>
                <c:pt idx="15">
                  <c:v>Transport Services</c:v>
                </c:pt>
                <c:pt idx="16">
                  <c:v>IT - Services</c:v>
                </c:pt>
                <c:pt idx="17">
                  <c:v>Leisure Services</c:v>
                </c:pt>
                <c:pt idx="18">
                  <c:v>Construction</c:v>
                </c:pt>
                <c:pt idx="19">
                  <c:v>Power</c:v>
                </c:pt>
                <c:pt idx="20">
                  <c:v>Industrial Manufacturing</c:v>
                </c:pt>
                <c:pt idx="21">
                  <c:v>Beverages</c:v>
                </c:pt>
                <c:pt idx="22">
                  <c:v>IT - Hardware</c:v>
                </c:pt>
                <c:pt idx="23">
                  <c:v>IT - Software</c:v>
                </c:pt>
                <c:pt idx="24">
                  <c:v>Diversified Metals</c:v>
                </c:pt>
                <c:pt idx="25">
                  <c:v>Ferrous Metals</c:v>
                </c:pt>
                <c:pt idx="26">
                  <c:v>Food Products</c:v>
                </c:pt>
                <c:pt idx="27">
                  <c:v>Petroleum Products</c:v>
                </c:pt>
                <c:pt idx="28">
                  <c:v>Paper, Forest &amp; Jute Products</c:v>
                </c:pt>
                <c:pt idx="29">
                  <c:v>Diversified</c:v>
                </c:pt>
                <c:pt idx="30">
                  <c:v>Other Consumer Services</c:v>
                </c:pt>
                <c:pt idx="31">
                  <c:v>Non - Ferrous Metals</c:v>
                </c:pt>
                <c:pt idx="32">
                  <c:v>Household Products</c:v>
                </c:pt>
                <c:pt idx="33">
                  <c:v>Entertainment</c:v>
                </c:pt>
                <c:pt idx="34">
                  <c:v>Fertilizers &amp; Agrochemicals</c:v>
                </c:pt>
                <c:pt idx="35">
                  <c:v>Other Utilities</c:v>
                </c:pt>
                <c:pt idx="36">
                  <c:v>Cement &amp; Cement Products</c:v>
                </c:pt>
                <c:pt idx="37">
                  <c:v>Personal Products</c:v>
                </c:pt>
                <c:pt idx="38">
                  <c:v>Gas</c:v>
                </c:pt>
                <c:pt idx="39">
                  <c:v>Insurance</c:v>
                </c:pt>
                <c:pt idx="40">
                  <c:v>Telecom - Equipment &amp; Accessories</c:v>
                </c:pt>
                <c:pt idx="41">
                  <c:v>Miscellaneous</c:v>
                </c:pt>
                <c:pt idx="42">
                  <c:v>Minerals &amp; Mining</c:v>
                </c:pt>
                <c:pt idx="43">
                  <c:v>Automobiles</c:v>
                </c:pt>
                <c:pt idx="44">
                  <c:v>Diversified FMCG</c:v>
                </c:pt>
                <c:pt idx="45">
                  <c:v>Healthcare Equipment &amp; Supplies</c:v>
                </c:pt>
                <c:pt idx="46">
                  <c:v>Telecom - Services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(31st May 2025)</c:v>
                </c:pt>
              </c:strCache>
            </c:strRef>
          </c:tx>
          <c:invertIfNegative val="0"/>
          <c:cat>
            <c:strRef>
              <c:f>'BANDHAN SCF'!$W$8:$W$54</c:f>
              <c:strCache>
                <c:ptCount val="47"/>
                <c:pt idx="0">
                  <c:v>Finance</c:v>
                </c:pt>
                <c:pt idx="1">
                  <c:v>Pharmaceuticals &amp; Biotechnology</c:v>
                </c:pt>
                <c:pt idx="2">
                  <c:v>Realty</c:v>
                </c:pt>
                <c:pt idx="3">
                  <c:v>Banks</c:v>
                </c:pt>
                <c:pt idx="4">
                  <c:v>Chemicals &amp; Petrochemicals</c:v>
                </c:pt>
                <c:pt idx="5">
                  <c:v>Electrical Equipment</c:v>
                </c:pt>
                <c:pt idx="6">
                  <c:v>Capital Markets</c:v>
                </c:pt>
                <c:pt idx="7">
                  <c:v>Textiles &amp; Apparels</c:v>
                </c:pt>
                <c:pt idx="8">
                  <c:v>Industrial Products</c:v>
                </c:pt>
                <c:pt idx="9">
                  <c:v>Consumer Durables</c:v>
                </c:pt>
                <c:pt idx="10">
                  <c:v>Agricultural Food &amp; other Products</c:v>
                </c:pt>
                <c:pt idx="11">
                  <c:v>Healthcare Services</c:v>
                </c:pt>
                <c:pt idx="12">
                  <c:v>Auto Components</c:v>
                </c:pt>
                <c:pt idx="13">
                  <c:v>Commercial Services &amp; Supplies</c:v>
                </c:pt>
                <c:pt idx="14">
                  <c:v>Retailing</c:v>
                </c:pt>
                <c:pt idx="15">
                  <c:v>Transport Services</c:v>
                </c:pt>
                <c:pt idx="16">
                  <c:v>IT - Services</c:v>
                </c:pt>
                <c:pt idx="17">
                  <c:v>Leisure Services</c:v>
                </c:pt>
                <c:pt idx="18">
                  <c:v>Construction</c:v>
                </c:pt>
                <c:pt idx="19">
                  <c:v>Power</c:v>
                </c:pt>
                <c:pt idx="20">
                  <c:v>Industrial Manufacturing</c:v>
                </c:pt>
                <c:pt idx="21">
                  <c:v>Beverages</c:v>
                </c:pt>
                <c:pt idx="22">
                  <c:v>IT - Hardware</c:v>
                </c:pt>
                <c:pt idx="23">
                  <c:v>IT - Software</c:v>
                </c:pt>
                <c:pt idx="24">
                  <c:v>Diversified Metals</c:v>
                </c:pt>
                <c:pt idx="25">
                  <c:v>Ferrous Metals</c:v>
                </c:pt>
                <c:pt idx="26">
                  <c:v>Food Products</c:v>
                </c:pt>
                <c:pt idx="27">
                  <c:v>Petroleum Products</c:v>
                </c:pt>
                <c:pt idx="28">
                  <c:v>Paper, Forest &amp; Jute Products</c:v>
                </c:pt>
                <c:pt idx="29">
                  <c:v>Diversified</c:v>
                </c:pt>
                <c:pt idx="30">
                  <c:v>Other Consumer Services</c:v>
                </c:pt>
                <c:pt idx="31">
                  <c:v>Non - Ferrous Metals</c:v>
                </c:pt>
                <c:pt idx="32">
                  <c:v>Household Products</c:v>
                </c:pt>
                <c:pt idx="33">
                  <c:v>Entertainment</c:v>
                </c:pt>
                <c:pt idx="34">
                  <c:v>Fertilizers &amp; Agrochemicals</c:v>
                </c:pt>
                <c:pt idx="35">
                  <c:v>Other Utilities</c:v>
                </c:pt>
                <c:pt idx="36">
                  <c:v>Cement &amp; Cement Products</c:v>
                </c:pt>
                <c:pt idx="37">
                  <c:v>Personal Products</c:v>
                </c:pt>
                <c:pt idx="38">
                  <c:v>Gas</c:v>
                </c:pt>
                <c:pt idx="39">
                  <c:v>Insurance</c:v>
                </c:pt>
                <c:pt idx="40">
                  <c:v>Telecom - Equipment &amp; Accessories</c:v>
                </c:pt>
                <c:pt idx="41">
                  <c:v>Miscellaneous</c:v>
                </c:pt>
                <c:pt idx="42">
                  <c:v>Minerals &amp; Mining</c:v>
                </c:pt>
                <c:pt idx="43">
                  <c:v>Automobiles</c:v>
                </c:pt>
                <c:pt idx="44">
                  <c:v>Diversified FMCG</c:v>
                </c:pt>
                <c:pt idx="45">
                  <c:v>Healthcare Equipment &amp; Supplies</c:v>
                </c:pt>
                <c:pt idx="46">
                  <c:v>Telecom - Services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7839346574215532E-2"/>
          <c:y val="1.6913311367993896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IF'!$W$8:$W$29</c:f>
              <c:strCache>
                <c:ptCount val="22"/>
                <c:pt idx="0">
                  <c:v>Construction</c:v>
                </c:pt>
                <c:pt idx="1">
                  <c:v>Electrical Equipment</c:v>
                </c:pt>
                <c:pt idx="2">
                  <c:v>Power</c:v>
                </c:pt>
                <c:pt idx="3">
                  <c:v>Industrial Products</c:v>
                </c:pt>
                <c:pt idx="4">
                  <c:v>Transport Services</c:v>
                </c:pt>
                <c:pt idx="5">
                  <c:v>Telecom - Services</c:v>
                </c:pt>
                <c:pt idx="6">
                  <c:v>Aerospace &amp; Defense</c:v>
                </c:pt>
                <c:pt idx="7">
                  <c:v>Industrial Manufacturing</c:v>
                </c:pt>
                <c:pt idx="8">
                  <c:v>Auto Components</c:v>
                </c:pt>
                <c:pt idx="9">
                  <c:v>Petroleum Products</c:v>
                </c:pt>
                <c:pt idx="10">
                  <c:v>Transport Infrastructure</c:v>
                </c:pt>
                <c:pt idx="11">
                  <c:v>Cement &amp; Cement Products</c:v>
                </c:pt>
                <c:pt idx="12">
                  <c:v>Gas</c:v>
                </c:pt>
                <c:pt idx="13">
                  <c:v>Finance</c:v>
                </c:pt>
                <c:pt idx="14">
                  <c:v>Healthcare Services</c:v>
                </c:pt>
                <c:pt idx="15">
                  <c:v>Chemicals &amp; Petrochemicals</c:v>
                </c:pt>
                <c:pt idx="16">
                  <c:v>Ferrous Metals</c:v>
                </c:pt>
                <c:pt idx="17">
                  <c:v>Diversified</c:v>
                </c:pt>
                <c:pt idx="18">
                  <c:v>Consumer Durables</c:v>
                </c:pt>
                <c:pt idx="19">
                  <c:v>Diversified Metals</c:v>
                </c:pt>
                <c:pt idx="20">
                  <c:v>Realty</c:v>
                </c:pt>
                <c:pt idx="21">
                  <c:v>Leisure Services</c:v>
                </c:pt>
              </c:strCache>
            </c:strRef>
          </c:cat>
          <c:val>
            <c:numRef>
              <c:f>'BANDHAN IF'!$X$8:$X$29</c:f>
              <c:numCache>
                <c:formatCode>0.00%</c:formatCode>
                <c:ptCount val="22"/>
                <c:pt idx="0">
                  <c:v>0.20848800000000001</c:v>
                </c:pt>
                <c:pt idx="1">
                  <c:v>9.4538000000000011E-2</c:v>
                </c:pt>
                <c:pt idx="2">
                  <c:v>8.7990000000000013E-2</c:v>
                </c:pt>
                <c:pt idx="3">
                  <c:v>8.4631999999999999E-2</c:v>
                </c:pt>
                <c:pt idx="4">
                  <c:v>5.0811999999999996E-2</c:v>
                </c:pt>
                <c:pt idx="5">
                  <c:v>4.6232000000000002E-2</c:v>
                </c:pt>
                <c:pt idx="6">
                  <c:v>4.4267000000000001E-2</c:v>
                </c:pt>
                <c:pt idx="7">
                  <c:v>3.9410000000000001E-2</c:v>
                </c:pt>
                <c:pt idx="8">
                  <c:v>3.8249999999999999E-2</c:v>
                </c:pt>
                <c:pt idx="9">
                  <c:v>3.7824000000000003E-2</c:v>
                </c:pt>
                <c:pt idx="10">
                  <c:v>3.5066E-2</c:v>
                </c:pt>
                <c:pt idx="11">
                  <c:v>3.3256000000000001E-2</c:v>
                </c:pt>
                <c:pt idx="12">
                  <c:v>2.9505E-2</c:v>
                </c:pt>
                <c:pt idx="13">
                  <c:v>2.8975000000000001E-2</c:v>
                </c:pt>
                <c:pt idx="14">
                  <c:v>1.8086000000000001E-2</c:v>
                </c:pt>
                <c:pt idx="15">
                  <c:v>1.7235E-2</c:v>
                </c:pt>
                <c:pt idx="16">
                  <c:v>1.4769000000000001E-2</c:v>
                </c:pt>
                <c:pt idx="17">
                  <c:v>8.9770000000000006E-3</c:v>
                </c:pt>
                <c:pt idx="18">
                  <c:v>5.1009999999999996E-3</c:v>
                </c:pt>
                <c:pt idx="19">
                  <c:v>4.8469999999999997E-3</c:v>
                </c:pt>
                <c:pt idx="20">
                  <c:v>3.0950000000000001E-3</c:v>
                </c:pt>
                <c:pt idx="21">
                  <c:v>2.4979999999999998E-3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TLF'!$W$8:$W$17</c:f>
              <c:strCache>
                <c:ptCount val="10"/>
                <c:pt idx="0">
                  <c:v>Automobiles</c:v>
                </c:pt>
                <c:pt idx="1">
                  <c:v>Auto Components</c:v>
                </c:pt>
                <c:pt idx="2">
                  <c:v>Transport Services</c:v>
                </c:pt>
                <c:pt idx="3">
                  <c:v>Retailing</c:v>
                </c:pt>
                <c:pt idx="4">
                  <c:v>Finance</c:v>
                </c:pt>
                <c:pt idx="5">
                  <c:v>Agricultural, Commercial &amp; Construction Vehicles</c:v>
                </c:pt>
                <c:pt idx="6">
                  <c:v>Consumer Durables</c:v>
                </c:pt>
                <c:pt idx="7">
                  <c:v>Leisure Services</c:v>
                </c:pt>
                <c:pt idx="8">
                  <c:v>Industrial Products</c:v>
                </c:pt>
                <c:pt idx="9">
                  <c:v>Transport Infrastructure</c:v>
                </c:pt>
              </c:strCache>
            </c:strRef>
          </c:cat>
          <c:val>
            <c:numRef>
              <c:f>'BANDHAN TLF'!$X$8:$X$17</c:f>
              <c:numCache>
                <c:formatCode>0.00%</c:formatCode>
                <c:ptCount val="10"/>
                <c:pt idx="0">
                  <c:v>0.44698500000000008</c:v>
                </c:pt>
                <c:pt idx="1">
                  <c:v>0.250749</c:v>
                </c:pt>
                <c:pt idx="2">
                  <c:v>0.101636</c:v>
                </c:pt>
                <c:pt idx="3">
                  <c:v>4.8684999999999999E-2</c:v>
                </c:pt>
                <c:pt idx="4">
                  <c:v>1.9390999999999999E-2</c:v>
                </c:pt>
                <c:pt idx="5">
                  <c:v>1.8189E-2</c:v>
                </c:pt>
                <c:pt idx="6">
                  <c:v>1.6071999999999999E-2</c:v>
                </c:pt>
                <c:pt idx="7">
                  <c:v>1.3677E-2</c:v>
                </c:pt>
                <c:pt idx="8">
                  <c:v>1.2E-2</c:v>
                </c:pt>
                <c:pt idx="9">
                  <c:v>5.3090000000000004E-3</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Insurance</c:v>
                </c:pt>
                <c:pt idx="3">
                  <c:v>Financial Technology (Fintech)</c:v>
                </c:pt>
                <c:pt idx="4">
                  <c:v>Capital Markets</c:v>
                </c:pt>
              </c:strCache>
            </c:strRef>
          </c:cat>
          <c:val>
            <c:numRef>
              <c:f>'BANDHAN FSF'!$X$8:$X$12</c:f>
              <c:numCache>
                <c:formatCode>0.00%</c:formatCode>
                <c:ptCount val="5"/>
                <c:pt idx="0">
                  <c:v>0.53891299999999998</c:v>
                </c:pt>
                <c:pt idx="1">
                  <c:v>0.26615500000000003</c:v>
                </c:pt>
                <c:pt idx="2">
                  <c:v>8.5513000000000006E-2</c:v>
                </c:pt>
                <c:pt idx="3">
                  <c:v>4.0132000000000001E-2</c:v>
                </c:pt>
                <c:pt idx="4">
                  <c:v>2.0789000000000002E-2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(31st May 2025)</c:v>
                </c:pt>
              </c:strCache>
            </c:strRef>
          </c:tx>
          <c:invertIfNegative val="0"/>
          <c:cat>
            <c:strRef>
              <c:f>'BANDHAN FSF'!$W$8:$W$12</c:f>
              <c:strCache>
                <c:ptCount val="5"/>
                <c:pt idx="0">
                  <c:v>Banks</c:v>
                </c:pt>
                <c:pt idx="1">
                  <c:v>Finance</c:v>
                </c:pt>
                <c:pt idx="2">
                  <c:v>Insurance</c:v>
                </c:pt>
                <c:pt idx="3">
                  <c:v>Financial Technology (Fintech)</c:v>
                </c:pt>
                <c:pt idx="4">
                  <c:v>Capital Markets</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INNOV'!$W$8:$W$42</c:f>
              <c:strCache>
                <c:ptCount val="35"/>
                <c:pt idx="0">
                  <c:v>Pharmaceuticals &amp; Biotechnology</c:v>
                </c:pt>
                <c:pt idx="1">
                  <c:v>Retailing</c:v>
                </c:pt>
                <c:pt idx="2">
                  <c:v>Finance</c:v>
                </c:pt>
                <c:pt idx="3">
                  <c:v>Consumer Durables</c:v>
                </c:pt>
                <c:pt idx="4">
                  <c:v>IT - Software</c:v>
                </c:pt>
                <c:pt idx="5">
                  <c:v>IT - Services</c:v>
                </c:pt>
                <c:pt idx="6">
                  <c:v>Healthcare Services</c:v>
                </c:pt>
                <c:pt idx="7">
                  <c:v>Financial Technology (Fintech)</c:v>
                </c:pt>
                <c:pt idx="8">
                  <c:v>Beverages</c:v>
                </c:pt>
                <c:pt idx="9">
                  <c:v>Banks</c:v>
                </c:pt>
                <c:pt idx="10">
                  <c:v>Automobiles</c:v>
                </c:pt>
                <c:pt idx="11">
                  <c:v>Transport Services</c:v>
                </c:pt>
                <c:pt idx="12">
                  <c:v>Realty</c:v>
                </c:pt>
                <c:pt idx="13">
                  <c:v>Telecom - Services</c:v>
                </c:pt>
                <c:pt idx="14">
                  <c:v>Electrical Equipment</c:v>
                </c:pt>
                <c:pt idx="15">
                  <c:v>Capital Markets</c:v>
                </c:pt>
                <c:pt idx="16">
                  <c:v>Insurance</c:v>
                </c:pt>
                <c:pt idx="17">
                  <c:v>Chemicals &amp; Petrochemicals</c:v>
                </c:pt>
                <c:pt idx="18">
                  <c:v>Auto Components</c:v>
                </c:pt>
                <c:pt idx="19">
                  <c:v>Industrial Manufacturing</c:v>
                </c:pt>
                <c:pt idx="20">
                  <c:v>Petroleum Products</c:v>
                </c:pt>
                <c:pt idx="21">
                  <c:v>Cement &amp; Cement Products</c:v>
                </c:pt>
                <c:pt idx="22">
                  <c:v>Power</c:v>
                </c:pt>
                <c:pt idx="23">
                  <c:v>Leisure Services</c:v>
                </c:pt>
                <c:pt idx="24">
                  <c:v>Industrial Products</c:v>
                </c:pt>
                <c:pt idx="25">
                  <c:v>Commercial Services &amp; Supplies</c:v>
                </c:pt>
                <c:pt idx="26">
                  <c:v>Construction</c:v>
                </c:pt>
                <c:pt idx="27">
                  <c:v>Entertainment</c:v>
                </c:pt>
                <c:pt idx="28">
                  <c:v>Diversified Metals</c:v>
                </c:pt>
                <c:pt idx="29">
                  <c:v>Diversified</c:v>
                </c:pt>
                <c:pt idx="30">
                  <c:v>Telecom - Equipment &amp; Accessories</c:v>
                </c:pt>
                <c:pt idx="31">
                  <c:v>Personal Products</c:v>
                </c:pt>
                <c:pt idx="32">
                  <c:v>Aerospace &amp; Defense</c:v>
                </c:pt>
                <c:pt idx="33">
                  <c:v>IT - Hardware</c:v>
                </c:pt>
                <c:pt idx="34">
                  <c:v>Miscellaneous</c:v>
                </c:pt>
              </c:strCache>
            </c:strRef>
          </c:cat>
          <c:val>
            <c:numRef>
              <c:f>'BANDHAN INNOV'!$X$8:$X$42</c:f>
              <c:numCache>
                <c:formatCode>0.00%</c:formatCode>
                <c:ptCount val="35"/>
                <c:pt idx="0">
                  <c:v>0.10597000000000001</c:v>
                </c:pt>
                <c:pt idx="1">
                  <c:v>8.5425000000000001E-2</c:v>
                </c:pt>
                <c:pt idx="2">
                  <c:v>6.9767999999999997E-2</c:v>
                </c:pt>
                <c:pt idx="3">
                  <c:v>5.2503999999999995E-2</c:v>
                </c:pt>
                <c:pt idx="4">
                  <c:v>4.8218999999999998E-2</c:v>
                </c:pt>
                <c:pt idx="5">
                  <c:v>4.6171000000000004E-2</c:v>
                </c:pt>
                <c:pt idx="6">
                  <c:v>4.1113999999999998E-2</c:v>
                </c:pt>
                <c:pt idx="7">
                  <c:v>3.9321000000000002E-2</c:v>
                </c:pt>
                <c:pt idx="8">
                  <c:v>3.7331000000000003E-2</c:v>
                </c:pt>
                <c:pt idx="9">
                  <c:v>3.7116999999999997E-2</c:v>
                </c:pt>
                <c:pt idx="10">
                  <c:v>3.6961000000000001E-2</c:v>
                </c:pt>
                <c:pt idx="11">
                  <c:v>3.5026000000000002E-2</c:v>
                </c:pt>
                <c:pt idx="12">
                  <c:v>3.2969999999999999E-2</c:v>
                </c:pt>
                <c:pt idx="13">
                  <c:v>2.9214999999999998E-2</c:v>
                </c:pt>
                <c:pt idx="14">
                  <c:v>2.6737999999999998E-2</c:v>
                </c:pt>
                <c:pt idx="15">
                  <c:v>2.6064999999999998E-2</c:v>
                </c:pt>
                <c:pt idx="16">
                  <c:v>2.5197000000000001E-2</c:v>
                </c:pt>
                <c:pt idx="17">
                  <c:v>2.1398E-2</c:v>
                </c:pt>
                <c:pt idx="18">
                  <c:v>2.0541E-2</c:v>
                </c:pt>
                <c:pt idx="19">
                  <c:v>1.8673000000000002E-2</c:v>
                </c:pt>
                <c:pt idx="20">
                  <c:v>1.8016000000000001E-2</c:v>
                </c:pt>
                <c:pt idx="21">
                  <c:v>1.7004999999999999E-2</c:v>
                </c:pt>
                <c:pt idx="22">
                  <c:v>1.6301E-2</c:v>
                </c:pt>
                <c:pt idx="23">
                  <c:v>1.3860000000000001E-2</c:v>
                </c:pt>
                <c:pt idx="24">
                  <c:v>1.2629E-2</c:v>
                </c:pt>
                <c:pt idx="25">
                  <c:v>1.0034E-2</c:v>
                </c:pt>
                <c:pt idx="26">
                  <c:v>9.2530000000000008E-3</c:v>
                </c:pt>
                <c:pt idx="27">
                  <c:v>9.0659999999999994E-3</c:v>
                </c:pt>
                <c:pt idx="28">
                  <c:v>7.7089999999999997E-3</c:v>
                </c:pt>
                <c:pt idx="29">
                  <c:v>7.6889999999999997E-3</c:v>
                </c:pt>
                <c:pt idx="30">
                  <c:v>7.0530000000000002E-3</c:v>
                </c:pt>
                <c:pt idx="31">
                  <c:v>7.0020000000000004E-3</c:v>
                </c:pt>
                <c:pt idx="32">
                  <c:v>6.8760000000000002E-3</c:v>
                </c:pt>
                <c:pt idx="33">
                  <c:v>5.8589999999999996E-3</c:v>
                </c:pt>
                <c:pt idx="34">
                  <c:v>5.2909999999999997E-3</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BUSINESS CYCLE'!$X$7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AF-4F74-8226-8AE3CE8CA1F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AF-4F74-8226-8AE3CE8CA1F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AF-4F74-8226-8AE3CE8CA1F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AF-4F74-8226-8AE3CE8CA1F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AF-4F74-8226-8AE3CE8CA1F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AF-4F74-8226-8AE3CE8CA1F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AF-4F74-8226-8AE3CE8CA1F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AF-4F74-8226-8AE3CE8CA1F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AF-4F74-8226-8AE3CE8CA1F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AF-4F74-8226-8AE3CE8CA1F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FAF-4F74-8226-8AE3CE8CA1F4}"/>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EFAF-4F74-8226-8AE3CE8CA1F4}"/>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EFAF-4F74-8226-8AE3CE8CA1F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BUSINESS CYCLE'!$W$8:$W$42</c:f>
              <c:strCache>
                <c:ptCount val="35"/>
                <c:pt idx="0">
                  <c:v>Banks</c:v>
                </c:pt>
                <c:pt idx="1">
                  <c:v>Finance</c:v>
                </c:pt>
                <c:pt idx="2">
                  <c:v>IT - Software</c:v>
                </c:pt>
                <c:pt idx="3">
                  <c:v>Pharmaceuticals &amp; Biotechnology</c:v>
                </c:pt>
                <c:pt idx="4">
                  <c:v>Construction</c:v>
                </c:pt>
                <c:pt idx="5">
                  <c:v>Power</c:v>
                </c:pt>
                <c:pt idx="6">
                  <c:v>Fertilizers &amp; Agrochemicals</c:v>
                </c:pt>
                <c:pt idx="7">
                  <c:v>Retailing</c:v>
                </c:pt>
                <c:pt idx="8">
                  <c:v>Automobiles</c:v>
                </c:pt>
                <c:pt idx="9">
                  <c:v>Transport Infrastructure</c:v>
                </c:pt>
                <c:pt idx="10">
                  <c:v>Auto Components</c:v>
                </c:pt>
                <c:pt idx="11">
                  <c:v>Realty</c:v>
                </c:pt>
                <c:pt idx="12">
                  <c:v>Financial Technology (Fintech)</c:v>
                </c:pt>
                <c:pt idx="13">
                  <c:v>Telecom - Services</c:v>
                </c:pt>
                <c:pt idx="14">
                  <c:v>Industrial Products</c:v>
                </c:pt>
                <c:pt idx="15">
                  <c:v>Petroleum Products</c:v>
                </c:pt>
                <c:pt idx="16">
                  <c:v>Healthcare Services</c:v>
                </c:pt>
                <c:pt idx="17">
                  <c:v>Chemicals &amp; Petrochemicals</c:v>
                </c:pt>
                <c:pt idx="18">
                  <c:v>Transport Services</c:v>
                </c:pt>
                <c:pt idx="19">
                  <c:v>Gas</c:v>
                </c:pt>
                <c:pt idx="20">
                  <c:v>Aerospace &amp; Defense</c:v>
                </c:pt>
                <c:pt idx="21">
                  <c:v>Insurance</c:v>
                </c:pt>
                <c:pt idx="22">
                  <c:v>Ferrous Metals</c:v>
                </c:pt>
                <c:pt idx="23">
                  <c:v>Cement &amp; Cement Products</c:v>
                </c:pt>
                <c:pt idx="24">
                  <c:v>Capital Markets</c:v>
                </c:pt>
                <c:pt idx="25">
                  <c:v>Electrical Equipment</c:v>
                </c:pt>
                <c:pt idx="26">
                  <c:v>Personal Products</c:v>
                </c:pt>
                <c:pt idx="27">
                  <c:v>IT - Services</c:v>
                </c:pt>
                <c:pt idx="28">
                  <c:v>Consumer Durables</c:v>
                </c:pt>
                <c:pt idx="29">
                  <c:v>Commercial Services &amp; Supplies</c:v>
                </c:pt>
                <c:pt idx="30">
                  <c:v>Industrial Manufacturing</c:v>
                </c:pt>
                <c:pt idx="31">
                  <c:v>Diversified FMCG</c:v>
                </c:pt>
                <c:pt idx="32">
                  <c:v>Beverages</c:v>
                </c:pt>
                <c:pt idx="33">
                  <c:v>Food Products</c:v>
                </c:pt>
                <c:pt idx="34">
                  <c:v>Textiles &amp; Apparels</c:v>
                </c:pt>
              </c:strCache>
            </c:strRef>
          </c:cat>
          <c:val>
            <c:numRef>
              <c:f>'BANDHAN BUSINESS CYCLE'!$X$9:$X$42</c:f>
              <c:numCache>
                <c:formatCode>0.00%</c:formatCode>
                <c:ptCount val="34"/>
                <c:pt idx="0">
                  <c:v>9.6597999999999989E-2</c:v>
                </c:pt>
                <c:pt idx="1">
                  <c:v>7.9204999999999998E-2</c:v>
                </c:pt>
                <c:pt idx="2">
                  <c:v>6.9142999999999996E-2</c:v>
                </c:pt>
                <c:pt idx="3">
                  <c:v>6.0670999999999996E-2</c:v>
                </c:pt>
                <c:pt idx="4">
                  <c:v>5.8267999999999993E-2</c:v>
                </c:pt>
                <c:pt idx="5">
                  <c:v>3.6618999999999999E-2</c:v>
                </c:pt>
                <c:pt idx="6">
                  <c:v>2.9881000000000001E-2</c:v>
                </c:pt>
                <c:pt idx="7">
                  <c:v>2.5454999999999998E-2</c:v>
                </c:pt>
                <c:pt idx="8">
                  <c:v>2.4667999999999999E-2</c:v>
                </c:pt>
                <c:pt idx="9">
                  <c:v>2.3396999999999998E-2</c:v>
                </c:pt>
                <c:pt idx="10">
                  <c:v>2.1851000000000002E-2</c:v>
                </c:pt>
                <c:pt idx="11">
                  <c:v>2.0667000000000001E-2</c:v>
                </c:pt>
                <c:pt idx="12">
                  <c:v>2.0329E-2</c:v>
                </c:pt>
                <c:pt idx="13">
                  <c:v>1.9991999999999999E-2</c:v>
                </c:pt>
                <c:pt idx="14">
                  <c:v>1.9165000000000001E-2</c:v>
                </c:pt>
                <c:pt idx="15">
                  <c:v>1.8668000000000001E-2</c:v>
                </c:pt>
                <c:pt idx="16">
                  <c:v>1.4412999999999999E-2</c:v>
                </c:pt>
                <c:pt idx="17">
                  <c:v>1.3698999999999999E-2</c:v>
                </c:pt>
                <c:pt idx="18">
                  <c:v>1.3212E-2</c:v>
                </c:pt>
                <c:pt idx="19">
                  <c:v>1.1743E-2</c:v>
                </c:pt>
                <c:pt idx="20">
                  <c:v>1.1239000000000001E-2</c:v>
                </c:pt>
                <c:pt idx="21">
                  <c:v>1.1036000000000001E-2</c:v>
                </c:pt>
                <c:pt idx="22">
                  <c:v>9.9100000000000004E-3</c:v>
                </c:pt>
                <c:pt idx="23">
                  <c:v>9.8420000000000001E-3</c:v>
                </c:pt>
                <c:pt idx="24">
                  <c:v>9.1210000000000006E-3</c:v>
                </c:pt>
                <c:pt idx="25">
                  <c:v>8.9870000000000002E-3</c:v>
                </c:pt>
                <c:pt idx="26">
                  <c:v>6.084E-3</c:v>
                </c:pt>
                <c:pt idx="27">
                  <c:v>5.7909999999999993E-3</c:v>
                </c:pt>
                <c:pt idx="28">
                  <c:v>4.7549999999999997E-3</c:v>
                </c:pt>
                <c:pt idx="29">
                  <c:v>4.7149999999999996E-3</c:v>
                </c:pt>
                <c:pt idx="30">
                  <c:v>4.5409999999999999E-3</c:v>
                </c:pt>
                <c:pt idx="31">
                  <c:v>3.96E-3</c:v>
                </c:pt>
                <c:pt idx="32">
                  <c:v>3.274E-3</c:v>
                </c:pt>
                <c:pt idx="33">
                  <c:v>3.156E-3</c:v>
                </c:pt>
              </c:numCache>
            </c:numRef>
          </c:val>
          <c:extLst>
            <c:ext xmlns:c16="http://schemas.microsoft.com/office/drawing/2014/chart" uri="{C3380CC4-5D6E-409C-BE32-E72D297353CC}">
              <c16:uniqueId val="{0000000D-EFAF-4F74-8226-8AE3CE8CA1F4}"/>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'BANDHAN-ELSS'!$X$7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'BANDHAN-ELSS'!$W$8:$W$35</c:f>
              <c:strCache>
                <c:ptCount val="28"/>
                <c:pt idx="0">
                  <c:v>Banks</c:v>
                </c:pt>
                <c:pt idx="1">
                  <c:v>Petroleum Products</c:v>
                </c:pt>
                <c:pt idx="2">
                  <c:v>IT - Software</c:v>
                </c:pt>
                <c:pt idx="3">
                  <c:v>Pharmaceuticals &amp; Biotechnology</c:v>
                </c:pt>
                <c:pt idx="4">
                  <c:v>Finance</c:v>
                </c:pt>
                <c:pt idx="5">
                  <c:v>Automobiles</c:v>
                </c:pt>
                <c:pt idx="6">
                  <c:v>Insurance</c:v>
                </c:pt>
                <c:pt idx="7">
                  <c:v>Consumer Durables</c:v>
                </c:pt>
                <c:pt idx="8">
                  <c:v>Telecom - Services</c:v>
                </c:pt>
                <c:pt idx="9">
                  <c:v>Auto Components</c:v>
                </c:pt>
                <c:pt idx="10">
                  <c:v>Ferrous Metals</c:v>
                </c:pt>
                <c:pt idx="11">
                  <c:v>Beverages</c:v>
                </c:pt>
                <c:pt idx="12">
                  <c:v>Food Products</c:v>
                </c:pt>
                <c:pt idx="13">
                  <c:v>Construction</c:v>
                </c:pt>
                <c:pt idx="14">
                  <c:v>Cement &amp; Cement Products</c:v>
                </c:pt>
                <c:pt idx="15">
                  <c:v>Electrical Equipment</c:v>
                </c:pt>
                <c:pt idx="16">
                  <c:v>Realty</c:v>
                </c:pt>
                <c:pt idx="17">
                  <c:v>Retailing</c:v>
                </c:pt>
                <c:pt idx="18">
                  <c:v>Diversified FMCG</c:v>
                </c:pt>
                <c:pt idx="19">
                  <c:v>Fertilizers &amp; Agrochemicals</c:v>
                </c:pt>
                <c:pt idx="20">
                  <c:v>Diversified Metals</c:v>
                </c:pt>
                <c:pt idx="21">
                  <c:v>Leisure Services</c:v>
                </c:pt>
                <c:pt idx="22">
                  <c:v>Transport Services</c:v>
                </c:pt>
                <c:pt idx="23">
                  <c:v>Power</c:v>
                </c:pt>
                <c:pt idx="24">
                  <c:v>Telecom - Equipment &amp; Accessories</c:v>
                </c:pt>
                <c:pt idx="25">
                  <c:v>Gas</c:v>
                </c:pt>
                <c:pt idx="26">
                  <c:v>Industrial Products</c:v>
                </c:pt>
                <c:pt idx="27">
                  <c:v>Chemicals &amp; Petrochemicals</c:v>
                </c:pt>
              </c:strCache>
            </c:strRef>
          </c:cat>
          <c:val>
            <c:numRef>
              <c:f>'BANDHAN-ELSS'!$X$8:$X$35</c:f>
              <c:numCache>
                <c:formatCode>0.00%</c:formatCode>
                <c:ptCount val="28"/>
                <c:pt idx="0">
                  <c:v>0.23477700000000001</c:v>
                </c:pt>
                <c:pt idx="1">
                  <c:v>7.6575000000000004E-2</c:v>
                </c:pt>
                <c:pt idx="2">
                  <c:v>7.2661000000000003E-2</c:v>
                </c:pt>
                <c:pt idx="3">
                  <c:v>6.5736000000000003E-2</c:v>
                </c:pt>
                <c:pt idx="4">
                  <c:v>4.9061000000000007E-2</c:v>
                </c:pt>
                <c:pt idx="5">
                  <c:v>4.1169999999999998E-2</c:v>
                </c:pt>
                <c:pt idx="6">
                  <c:v>4.0443E-2</c:v>
                </c:pt>
                <c:pt idx="7">
                  <c:v>3.6240000000000001E-2</c:v>
                </c:pt>
                <c:pt idx="8">
                  <c:v>2.9180000000000001E-2</c:v>
                </c:pt>
                <c:pt idx="9">
                  <c:v>2.8126000000000002E-2</c:v>
                </c:pt>
                <c:pt idx="10">
                  <c:v>2.6988000000000002E-2</c:v>
                </c:pt>
                <c:pt idx="11">
                  <c:v>2.5958000000000002E-2</c:v>
                </c:pt>
                <c:pt idx="12">
                  <c:v>2.4219999999999998E-2</c:v>
                </c:pt>
                <c:pt idx="13">
                  <c:v>2.393E-2</c:v>
                </c:pt>
                <c:pt idx="14">
                  <c:v>1.8825000000000001E-2</c:v>
                </c:pt>
                <c:pt idx="15">
                  <c:v>1.8759999999999999E-2</c:v>
                </c:pt>
                <c:pt idx="16">
                  <c:v>1.7061E-2</c:v>
                </c:pt>
                <c:pt idx="17">
                  <c:v>1.6592000000000003E-2</c:v>
                </c:pt>
                <c:pt idx="18">
                  <c:v>1.5027E-2</c:v>
                </c:pt>
                <c:pt idx="19">
                  <c:v>1.3879000000000001E-2</c:v>
                </c:pt>
                <c:pt idx="20">
                  <c:v>1.3776999999999999E-2</c:v>
                </c:pt>
                <c:pt idx="21">
                  <c:v>1.1850000000000001E-2</c:v>
                </c:pt>
                <c:pt idx="22">
                  <c:v>1.051E-2</c:v>
                </c:pt>
                <c:pt idx="23">
                  <c:v>7.2009999999999999E-3</c:v>
                </c:pt>
                <c:pt idx="24">
                  <c:v>6.9300000000000004E-3</c:v>
                </c:pt>
                <c:pt idx="25">
                  <c:v>4.0930000000000003E-3</c:v>
                </c:pt>
                <c:pt idx="26">
                  <c:v>3.2880000000000001E-3</c:v>
                </c:pt>
                <c:pt idx="27">
                  <c:v>2.6229999999999999E-3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0.68597699999999995</c:v>
                </c:pt>
                <c:pt idx="1">
                  <c:v>0.31402300000000005</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IT - Software</c:v>
                </c:pt>
                <c:pt idx="2">
                  <c:v>Pharmaceuticals &amp; Biotechnology</c:v>
                </c:pt>
                <c:pt idx="3">
                  <c:v>Construction</c:v>
                </c:pt>
                <c:pt idx="4">
                  <c:v>Petroleum Products</c:v>
                </c:pt>
                <c:pt idx="5">
                  <c:v>Finance</c:v>
                </c:pt>
                <c:pt idx="6">
                  <c:v>Telecom - Services</c:v>
                </c:pt>
                <c:pt idx="7">
                  <c:v>Healthcare Services</c:v>
                </c:pt>
                <c:pt idx="8">
                  <c:v>Beverages</c:v>
                </c:pt>
                <c:pt idx="9">
                  <c:v>Retailing</c:v>
                </c:pt>
                <c:pt idx="10">
                  <c:v>Transport Services</c:v>
                </c:pt>
                <c:pt idx="11">
                  <c:v>Financial Technology (Fintech)</c:v>
                </c:pt>
                <c:pt idx="12">
                  <c:v>Realty</c:v>
                </c:pt>
                <c:pt idx="13">
                  <c:v>Power</c:v>
                </c:pt>
                <c:pt idx="14">
                  <c:v>Fertilizers &amp; Agrochemicals</c:v>
                </c:pt>
                <c:pt idx="15">
                  <c:v>Capital Markets</c:v>
                </c:pt>
              </c:strCache>
            </c:strRef>
          </c:cat>
          <c:val>
            <c:numRef>
              <c:f>'BANDHAN BAF'!$X$8:$X$23</c:f>
              <c:numCache>
                <c:formatCode>0.00%</c:formatCode>
                <c:ptCount val="16"/>
                <c:pt idx="0">
                  <c:v>0.11557300000000004</c:v>
                </c:pt>
                <c:pt idx="1">
                  <c:v>5.2175000000000027E-2</c:v>
                </c:pt>
                <c:pt idx="2">
                  <c:v>3.8255000000000004E-2</c:v>
                </c:pt>
                <c:pt idx="3">
                  <c:v>2.172E-2</c:v>
                </c:pt>
                <c:pt idx="4">
                  <c:v>2.1534999999999999E-2</c:v>
                </c:pt>
                <c:pt idx="5">
                  <c:v>2.0931000000000005E-2</c:v>
                </c:pt>
                <c:pt idx="6">
                  <c:v>2.0208000000000007E-2</c:v>
                </c:pt>
                <c:pt idx="7">
                  <c:v>1.8957000000000002E-2</c:v>
                </c:pt>
                <c:pt idx="8">
                  <c:v>1.8853999999999999E-2</c:v>
                </c:pt>
                <c:pt idx="9">
                  <c:v>1.8178E-2</c:v>
                </c:pt>
                <c:pt idx="10">
                  <c:v>1.4361000000000001E-2</c:v>
                </c:pt>
                <c:pt idx="11">
                  <c:v>1.3764E-2</c:v>
                </c:pt>
                <c:pt idx="12">
                  <c:v>1.2298E-2</c:v>
                </c:pt>
                <c:pt idx="13">
                  <c:v>1.1066999999999999E-2</c:v>
                </c:pt>
                <c:pt idx="14">
                  <c:v>1.0159999999999999E-2</c:v>
                </c:pt>
                <c:pt idx="15">
                  <c:v>9.2499999999999978E-3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BAF'!$W$8:$W$41</c:f>
              <c:strCache>
                <c:ptCount val="34"/>
                <c:pt idx="0">
                  <c:v>Banks</c:v>
                </c:pt>
                <c:pt idx="1">
                  <c:v>IT - Software</c:v>
                </c:pt>
                <c:pt idx="2">
                  <c:v>Pharmaceuticals &amp; Biotechnology</c:v>
                </c:pt>
                <c:pt idx="3">
                  <c:v>Construction</c:v>
                </c:pt>
                <c:pt idx="4">
                  <c:v>Petroleum Products</c:v>
                </c:pt>
                <c:pt idx="5">
                  <c:v>Finance</c:v>
                </c:pt>
                <c:pt idx="6">
                  <c:v>Telecom - Services</c:v>
                </c:pt>
                <c:pt idx="7">
                  <c:v>Healthcare Services</c:v>
                </c:pt>
                <c:pt idx="8">
                  <c:v>Beverages</c:v>
                </c:pt>
                <c:pt idx="9">
                  <c:v>Retailing</c:v>
                </c:pt>
                <c:pt idx="10">
                  <c:v>Transport Services</c:v>
                </c:pt>
                <c:pt idx="11">
                  <c:v>Financial Technology (Fintech)</c:v>
                </c:pt>
                <c:pt idx="12">
                  <c:v>Realty</c:v>
                </c:pt>
                <c:pt idx="13">
                  <c:v>Power</c:v>
                </c:pt>
                <c:pt idx="14">
                  <c:v>Fertilizers &amp; Agrochemicals</c:v>
                </c:pt>
                <c:pt idx="15">
                  <c:v>Capital Markets</c:v>
                </c:pt>
                <c:pt idx="16">
                  <c:v>Automobiles</c:v>
                </c:pt>
                <c:pt idx="17">
                  <c:v>Diversified Metals</c:v>
                </c:pt>
                <c:pt idx="18">
                  <c:v>Cement &amp; Cement Products</c:v>
                </c:pt>
                <c:pt idx="19">
                  <c:v>Gas</c:v>
                </c:pt>
                <c:pt idx="20">
                  <c:v>Chemicals &amp; Petrochemicals</c:v>
                </c:pt>
                <c:pt idx="21">
                  <c:v>Industrial Products</c:v>
                </c:pt>
                <c:pt idx="22">
                  <c:v>Aerospace &amp; Defense</c:v>
                </c:pt>
                <c:pt idx="23">
                  <c:v>Insurance</c:v>
                </c:pt>
                <c:pt idx="24">
                  <c:v>Leisure Services</c:v>
                </c:pt>
                <c:pt idx="25">
                  <c:v>Textiles &amp; Apparels</c:v>
                </c:pt>
                <c:pt idx="26">
                  <c:v>Diversified FMCG</c:v>
                </c:pt>
                <c:pt idx="27">
                  <c:v>Consumer Durables</c:v>
                </c:pt>
                <c:pt idx="28">
                  <c:v>Industrial Manufacturing</c:v>
                </c:pt>
                <c:pt idx="29">
                  <c:v>Auto Components</c:v>
                </c:pt>
                <c:pt idx="30">
                  <c:v>Entertainment</c:v>
                </c:pt>
                <c:pt idx="31">
                  <c:v>Electrical Equipment</c:v>
                </c:pt>
                <c:pt idx="32">
                  <c:v>Ferrous Metals</c:v>
                </c:pt>
                <c:pt idx="33">
                  <c:v>Personal Products</c:v>
                </c:pt>
              </c:strCache>
            </c:strRef>
          </c:cat>
          <c:val>
            <c:numRef>
              <c:f>'BANDHAN BAF'!$X$8:$X$41</c:f>
              <c:numCache>
                <c:formatCode>0.00%</c:formatCode>
                <c:ptCount val="34"/>
                <c:pt idx="0">
                  <c:v>0.11557300000000004</c:v>
                </c:pt>
                <c:pt idx="1">
                  <c:v>5.2175000000000027E-2</c:v>
                </c:pt>
                <c:pt idx="2">
                  <c:v>3.8255000000000004E-2</c:v>
                </c:pt>
                <c:pt idx="3">
                  <c:v>2.172E-2</c:v>
                </c:pt>
                <c:pt idx="4">
                  <c:v>2.1534999999999999E-2</c:v>
                </c:pt>
                <c:pt idx="5">
                  <c:v>2.0931000000000005E-2</c:v>
                </c:pt>
                <c:pt idx="6">
                  <c:v>2.0208000000000007E-2</c:v>
                </c:pt>
                <c:pt idx="7">
                  <c:v>1.8957000000000002E-2</c:v>
                </c:pt>
                <c:pt idx="8">
                  <c:v>1.8853999999999999E-2</c:v>
                </c:pt>
                <c:pt idx="9">
                  <c:v>1.8178E-2</c:v>
                </c:pt>
                <c:pt idx="10">
                  <c:v>1.4361000000000001E-2</c:v>
                </c:pt>
                <c:pt idx="11">
                  <c:v>1.3764E-2</c:v>
                </c:pt>
                <c:pt idx="12">
                  <c:v>1.2298E-2</c:v>
                </c:pt>
                <c:pt idx="13">
                  <c:v>1.1066999999999999E-2</c:v>
                </c:pt>
                <c:pt idx="14">
                  <c:v>1.0159999999999999E-2</c:v>
                </c:pt>
                <c:pt idx="15">
                  <c:v>9.2499999999999978E-3</c:v>
                </c:pt>
                <c:pt idx="16">
                  <c:v>8.9640000000000032E-3</c:v>
                </c:pt>
                <c:pt idx="17">
                  <c:v>8.6430000000000014E-3</c:v>
                </c:pt>
                <c:pt idx="18">
                  <c:v>8.4259999999999995E-3</c:v>
                </c:pt>
                <c:pt idx="19">
                  <c:v>7.0720000000000002E-3</c:v>
                </c:pt>
                <c:pt idx="20">
                  <c:v>4.9179999999999996E-3</c:v>
                </c:pt>
                <c:pt idx="21">
                  <c:v>4.6309999999999997E-3</c:v>
                </c:pt>
                <c:pt idx="22">
                  <c:v>4.5360000000000001E-3</c:v>
                </c:pt>
                <c:pt idx="23">
                  <c:v>4.1630000000000009E-3</c:v>
                </c:pt>
                <c:pt idx="24">
                  <c:v>3.8110000000000002E-3</c:v>
                </c:pt>
                <c:pt idx="25">
                  <c:v>2.8049999999999998E-3</c:v>
                </c:pt>
                <c:pt idx="26">
                  <c:v>2.5530000000000023E-3</c:v>
                </c:pt>
                <c:pt idx="27">
                  <c:v>2.4709999999999988E-3</c:v>
                </c:pt>
                <c:pt idx="28">
                  <c:v>1.797E-3</c:v>
                </c:pt>
                <c:pt idx="29">
                  <c:v>1.591E-3</c:v>
                </c:pt>
                <c:pt idx="30">
                  <c:v>1.122E-3</c:v>
                </c:pt>
                <c:pt idx="31">
                  <c:v>-3.6000000000000441E-5</c:v>
                </c:pt>
                <c:pt idx="32">
                  <c:v>-5.2000000000001698E-5</c:v>
                </c:pt>
                <c:pt idx="33">
                  <c:v>-6.8999999999999617E-5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53376567103450956"/>
                  <c:y val="-0.1486514353054121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9.1356663162460664E-3"/>
                  <c:y val="0.604354997338637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0.19003586771797137"/>
                  <c:y val="-0.1989679356616686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46658931303737117"/>
                  <c:y val="0.3773459030187458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
                  <c:y val="-0.562770458464745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0"/>
                  <c:y val="0.164268519471757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dLbl>
              <c:idx val="8"/>
              <c:layout>
                <c:manualLayout>
                  <c:x val="0.25446261142201843"/>
                  <c:y val="-5.02914669601415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6F-4510-85FA-1EAD9CD8AC76}"/>
                </c:ext>
              </c:extLst>
            </c:dLbl>
            <c:dLbl>
              <c:idx val="9"/>
              <c:layout>
                <c:manualLayout>
                  <c:x val="-7.480135218686107E-2"/>
                  <c:y val="-7.9481032665139843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EE-4A91-94DC-276B6D0816AF}"/>
                </c:ext>
              </c:extLst>
            </c:dLbl>
            <c:spPr>
              <a:noFill/>
              <a:ln>
                <a:noFill/>
              </a:ln>
              <a:effectLst/>
            </c:spPr>
            <c:txPr>
              <a:bodyPr wrap="square" lIns="38100" tIns="19050" rIns="38100" bIns="19050" anchor="ctr">
                <a:spAutoFit/>
              </a:bodyPr>
              <a:lstStyle/>
              <a:p>
                <a:pPr>
                  <a:defRPr lang="en-IN"/>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'BANDHAN-ESF'!$J$9:$J$18</c:f>
              <c:strCache>
                <c:ptCount val="10"/>
                <c:pt idx="0">
                  <c:v>Net Equity </c:v>
                </c:pt>
                <c:pt idx="1">
                  <c:v>Net Current Asset</c:v>
                </c:pt>
                <c:pt idx="3">
                  <c:v>Corporate Bond</c:v>
                </c:pt>
                <c:pt idx="5">
                  <c:v>Mutual Fund Units</c:v>
                </c:pt>
                <c:pt idx="6">
                  <c:v>Government Bond</c:v>
                </c:pt>
                <c:pt idx="7">
                  <c:v>Arbitrage</c:v>
                </c:pt>
                <c:pt idx="8">
                  <c:v>Equity Options</c:v>
                </c:pt>
                <c:pt idx="9">
                  <c:v>State Government Bond</c:v>
                </c:pt>
              </c:strCache>
            </c:strRef>
          </c:cat>
          <c:val>
            <c:numRef>
              <c:f>'BANDHAN-ESF'!$K$9:$K$18</c:f>
              <c:numCache>
                <c:formatCode>0.00%</c:formatCode>
                <c:ptCount val="10"/>
                <c:pt idx="0">
                  <c:v>0.11010400000000001</c:v>
                </c:pt>
                <c:pt idx="1">
                  <c:v>5.220300000000011E-2</c:v>
                </c:pt>
                <c:pt idx="3">
                  <c:v>2.9991E-2</c:v>
                </c:pt>
                <c:pt idx="5">
                  <c:v>8.6694999999999994E-2</c:v>
                </c:pt>
                <c:pt idx="6">
                  <c:v>5.1307999999999999E-2</c:v>
                </c:pt>
                <c:pt idx="7">
                  <c:v>0.53838699999999995</c:v>
                </c:pt>
                <c:pt idx="8">
                  <c:v>5.8900000000000001E-4</c:v>
                </c:pt>
                <c:pt idx="9" formatCode="#0.00%;\(#0.00%\)">
                  <c:v>0.13072300000000001</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12525344176542141"/>
                  <c:y val="-7.72583897024925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9.090975612006387E-2"/>
                  <c:y val="0.17133211586574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0.16737245886230701"/>
                  <c:y val="5.401043936084996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790551648439336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33659913840139449"/>
                  <c:y val="0.7323780062863976"/>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CHF'!$J$9:$J$14</c:f>
              <c:strCache>
                <c:ptCount val="6"/>
                <c:pt idx="0">
                  <c:v>Corporate Bond</c:v>
                </c:pt>
                <c:pt idx="1">
                  <c:v>Equity + Nifty ETF</c:v>
                </c:pt>
                <c:pt idx="2">
                  <c:v>Net Current Asset</c:v>
                </c:pt>
                <c:pt idx="3">
                  <c:v>Government Bond</c:v>
                </c:pt>
                <c:pt idx="5">
                  <c:v>Corporate Debt Market Development Fund</c:v>
                </c:pt>
              </c:strCache>
            </c:strRef>
          </c:cat>
          <c:val>
            <c:numRef>
              <c:f>'BANDHAN CHF'!$K$9:$K$14</c:f>
              <c:numCache>
                <c:formatCode>0.00%</c:formatCode>
                <c:ptCount val="6"/>
                <c:pt idx="0">
                  <c:v>0.20825099999999999</c:v>
                </c:pt>
                <c:pt idx="1">
                  <c:v>0.24649599999999999</c:v>
                </c:pt>
                <c:pt idx="2">
                  <c:v>9.7444000000000003E-2</c:v>
                </c:pt>
                <c:pt idx="3">
                  <c:v>0.44433400000000001</c:v>
                </c:pt>
                <c:pt idx="5">
                  <c:v>3.4749999999999998E-3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9.8592287457612435E-2"/>
                  <c:y val="-7.0693450288318027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40878414920360673"/>
                  <c:y val="4.8107620371169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 CHF'!$G$8:$G$9</c:f>
              <c:strCache>
                <c:ptCount val="2"/>
                <c:pt idx="0">
                  <c:v>AAA Equivalent</c:v>
                </c:pt>
                <c:pt idx="1">
                  <c:v>AA+ Equivalent</c:v>
                </c:pt>
              </c:strCache>
            </c:strRef>
          </c:cat>
          <c:val>
            <c:numRef>
              <c:f>'BANDHAN CHF'!$I$8:$I$9</c:f>
              <c:numCache>
                <c:formatCode>0.00%</c:formatCode>
                <c:ptCount val="2"/>
                <c:pt idx="0">
                  <c:v>0.88630200000000003</c:v>
                </c:pt>
                <c:pt idx="1">
                  <c:v>0.11369799999999999</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832326532959887"/>
          <c:y val="0.18140857356445786"/>
          <c:w val="0.78272608624251272"/>
          <c:h val="0.53333319409344349"/>
        </c:manualLayout>
      </c:layout>
      <c:pie3DChart>
        <c:varyColors val="1"/>
        <c:ser>
          <c:idx val="0"/>
          <c:order val="0"/>
          <c:dLbls>
            <c:dLbl>
              <c:idx val="0"/>
              <c:layout>
                <c:manualLayout>
                  <c:x val="0.14246619810917505"/>
                  <c:y val="-1.2266826343321441E-3"/>
                </c:manualLayout>
              </c:layout>
              <c:tx>
                <c:rich>
                  <a:bodyPr/>
                  <a:lstStyle/>
                  <a:p>
                    <a:fld id="{835B31E5-0428-4C26-8EE8-6702101E8213}" type="CATEGORYNAME">
                      <a:rPr lang="en-US" baseline="0"/>
                      <a:pPr/>
                      <a:t>[CATEGORY NAME]</a:t>
                    </a:fld>
                    <a:r>
                      <a:rPr lang="en-US" baseline="0"/>
                      <a:t>, </a:t>
                    </a:r>
                    <a:fld id="{FE9075AB-FAD9-4B66-894C-3C5337361573}" type="VALUE">
                      <a:rPr lang="en-US" baseline="0"/>
                      <a:pPr/>
                      <a:t>[VALUE]</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14750133042527622"/>
                      <c:h val="0.28417500857060746"/>
                    </c:manualLayout>
                  </c15:layout>
                  <c15:dlblFieldTable/>
                  <c15:showDataLabelsRange val="1"/>
                </c:ext>
                <c:ext xmlns:c16="http://schemas.microsoft.com/office/drawing/2014/chart" uri="{C3380CC4-5D6E-409C-BE32-E72D297353CC}">
                  <c16:uniqueId val="{00000000-C3CC-4BC3-8596-62760DD930D0}"/>
                </c:ext>
              </c:extLst>
            </c:dLbl>
            <c:dLbl>
              <c:idx val="1"/>
              <c:layout>
                <c:manualLayout>
                  <c:x val="-0.27134164249427845"/>
                  <c:y val="0.14567999800404183"/>
                </c:manualLayout>
              </c:layout>
              <c:tx>
                <c:rich>
                  <a:bodyPr/>
                  <a:lstStyle/>
                  <a:p>
                    <a:fld id="{24A83395-05A0-4283-B032-E48A3AA94961}" type="CATEGORYNAME">
                      <a:rPr lang="en-US"/>
                      <a:pPr/>
                      <a:t>[CATEGORY NAME]</a:t>
                    </a:fld>
                    <a:r>
                      <a:rPr lang="en-US"/>
                      <a:t> 2.94%</a:t>
                    </a:r>
                  </a:p>
                </c:rich>
              </c:tx>
              <c:showLegendKey val="0"/>
              <c:showVal val="0"/>
              <c:showCatName val="0"/>
              <c:showSerName val="0"/>
              <c:showPercent val="0"/>
              <c:showBubbleSize val="0"/>
              <c:extLst>
                <c:ext xmlns:c15="http://schemas.microsoft.com/office/drawing/2012/chart" uri="{CE6537A1-D6FC-4f65-9D91-7224C49458BB}">
                  <c15:layout>
                    <c:manualLayout>
                      <c:w val="0.144284841643783"/>
                      <c:h val="0.2317760239219285"/>
                    </c:manualLayout>
                  </c15:layout>
                  <c15:dlblFieldTable/>
                  <c15:showDataLabelsRange val="1"/>
                </c:ext>
                <c:ext xmlns:c16="http://schemas.microsoft.com/office/drawing/2014/chart" uri="{C3380CC4-5D6E-409C-BE32-E72D297353CC}">
                  <c16:uniqueId val="{00000001-C3CC-4BC3-8596-62760DD930D0}"/>
                </c:ext>
              </c:extLst>
            </c:dLbl>
            <c:dLbl>
              <c:idx val="2"/>
              <c:layout>
                <c:manualLayout>
                  <c:x val="0.36265025869870232"/>
                  <c:y val="0.17016467579078293"/>
                </c:manualLayout>
              </c:layout>
              <c:tx>
                <c:rich>
                  <a:bodyPr/>
                  <a:lstStyle/>
                  <a:p>
                    <a:pPr>
                      <a:defRPr lang="en-IN">
                        <a:solidFill>
                          <a:schemeClr val="tx1"/>
                        </a:solidFill>
                      </a:defRPr>
                    </a:pPr>
                    <a:r>
                      <a:rPr lang="en-US">
                        <a:solidFill>
                          <a:schemeClr val="tx1"/>
                        </a:solidFill>
                      </a:rPr>
                      <a:t>AA Equivalent 0.80%</a:t>
                    </a:r>
                  </a:p>
                </c:rich>
              </c:tx>
              <c:numFmt formatCode="0.00%" sourceLinked="0"/>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816115082227269"/>
                      <c:h val="0.25524701368617436"/>
                    </c:manualLayout>
                  </c15:layout>
                </c:ext>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15:showDataLabelsRange val="1"/>
              </c:ext>
            </c:extLst>
          </c:dLbls>
          <c:cat>
            <c:strRef>
              <c:f>'BANDHAN-AHF'!$G$8:$G$9</c:f>
              <c:strCache>
                <c:ptCount val="2"/>
                <c:pt idx="0">
                  <c:v>AAA Equivalent</c:v>
                </c:pt>
                <c:pt idx="1">
                  <c:v>AA+ Equivalent</c:v>
                </c:pt>
              </c:strCache>
            </c:strRef>
          </c:cat>
          <c:val>
            <c:numRef>
              <c:f>'BANDHAN-AHF'!$I$8:$I$9</c:f>
              <c:numCache>
                <c:formatCode>0.00%</c:formatCode>
                <c:ptCount val="2"/>
                <c:pt idx="0">
                  <c:v>0.97516599999999998</c:v>
                </c:pt>
                <c:pt idx="1">
                  <c:v>2.4834000000000002E-2</c:v>
                </c:pt>
              </c:numCache>
            </c:numRef>
          </c:val>
          <c:extLst>
            <c:ext xmlns:c15="http://schemas.microsoft.com/office/drawing/2012/chart" uri="{02D57815-91ED-43cb-92C2-25804820EDAC}">
              <c15:datalabelsRange>
                <c15:f>('BANDHAN-AHF'!$G$10,'BANDHAN-AHF'!$I$10)</c15:f>
                <c15:dlblRangeCache>
                  <c:ptCount val="2"/>
                  <c:pt idx="0">
                    <c:v>AA Equivalent</c:v>
                  </c:pt>
                  <c:pt idx="1">
                    <c:v>0.00%</c:v>
                  </c:pt>
                </c15:dlblRangeCache>
              </c15:datalabelsRange>
            </c:ext>
            <c:ext xmlns:c16="http://schemas.microsoft.com/office/drawing/2014/chart" uri="{C3380CC4-5D6E-409C-BE32-E72D297353CC}">
              <c16:uniqueId val="{00000003-C3CC-4BC3-8596-62760DD930D0}"/>
            </c:ext>
          </c:extLst>
        </c:ser>
        <c:ser>
          <c:idx val="1"/>
          <c:order val="1"/>
          <c:cat>
            <c:strRef>
              <c:f>'BANDHAN-AHF'!$G$8:$G$9</c:f>
              <c:strCache>
                <c:ptCount val="2"/>
                <c:pt idx="0">
                  <c:v>AAA Equivalent</c:v>
                </c:pt>
                <c:pt idx="1">
                  <c:v>AA+ Equivalent</c:v>
                </c:pt>
              </c:strCache>
            </c:strRef>
          </c:cat>
          <c:val>
            <c:numRef>
              <c:f>'BANDHAN-MCAP'!$C$4</c:f>
              <c:numCache>
                <c:formatCode>General</c:formatCode>
                <c:ptCount val="1"/>
                <c:pt idx="0">
                  <c:v>0</c:v>
                </c:pt>
              </c:numCache>
            </c:numRef>
          </c:val>
          <c:extLst>
            <c:ext xmlns:c16="http://schemas.microsoft.com/office/drawing/2014/chart" uri="{C3380CC4-5D6E-409C-BE32-E72D297353CC}">
              <c16:uniqueId val="{00000000-9F85-46EC-A9F3-E41E9EB19A05}"/>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Pt>
            <c:idx val="5"/>
            <c:bubble3D val="0"/>
            <c:spPr>
              <a:solidFill>
                <a:schemeClr val="dk1">
                  <a:tint val="60000"/>
                </a:schemeClr>
              </a:solidFill>
              <a:ln w="25400">
                <a:noFill/>
              </a:ln>
              <a:effectLst/>
              <a:sp3d/>
            </c:spPr>
            <c:extLst>
              <c:ext xmlns:c16="http://schemas.microsoft.com/office/drawing/2014/chart" uri="{C3380CC4-5D6E-409C-BE32-E72D297353CC}">
                <c16:uniqueId val="{0000000B-744D-4822-82F8-091A8EC7716A}"/>
              </c:ext>
            </c:extLst>
          </c:dPt>
          <c:dPt>
            <c:idx val="6"/>
            <c:bubble3D val="0"/>
            <c:spPr>
              <a:solidFill>
                <a:schemeClr val="dk1">
                  <a:tint val="80000"/>
                </a:schemeClr>
              </a:solidFill>
              <a:ln w="25400">
                <a:noFill/>
              </a:ln>
              <a:effectLst/>
              <a:sp3d/>
            </c:spPr>
            <c:extLst>
              <c:ext xmlns:c16="http://schemas.microsoft.com/office/drawing/2014/chart" uri="{C3380CC4-5D6E-409C-BE32-E72D297353CC}">
                <c16:uniqueId val="{0000000D-5753-4EA8-9C5D-0888A9FF77DE}"/>
              </c:ext>
            </c:extLst>
          </c:dPt>
          <c:dLbls>
            <c:dLbl>
              <c:idx val="0"/>
              <c:layout>
                <c:manualLayout>
                  <c:x val="3.7340989185931366E-2"/>
                  <c:y val="0.7116325459317585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54693716799815273"/>
                  <c:y val="-0.1568627450980393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3"/>
              <c:layout>
                <c:manualLayout>
                  <c:x val="-0.13910846863076851"/>
                  <c:y val="-4.338860583603520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3EE-4550-A924-FBB22E870FAE}"/>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'BANDHAN-AHF'!$J$9:$J$15</c:f>
              <c:strCache>
                <c:ptCount val="7"/>
                <c:pt idx="0">
                  <c:v>Corporate Bond</c:v>
                </c:pt>
                <c:pt idx="1">
                  <c:v>Net Equity</c:v>
                </c:pt>
                <c:pt idx="3">
                  <c:v>Net Current Asset</c:v>
                </c:pt>
                <c:pt idx="4">
                  <c:v>Government Bond</c:v>
                </c:pt>
                <c:pt idx="5">
                  <c:v>State Government Bond</c:v>
                </c:pt>
                <c:pt idx="6">
                  <c:v>Equity Options</c:v>
                </c:pt>
              </c:strCache>
            </c:strRef>
          </c:cat>
          <c:val>
            <c:numRef>
              <c:f>'BANDHAN-AHF'!$K$9:$K$15</c:f>
              <c:numCache>
                <c:formatCode>0.00%</c:formatCode>
                <c:ptCount val="7"/>
                <c:pt idx="0">
                  <c:v>7.3649999999999993E-2</c:v>
                </c:pt>
                <c:pt idx="1">
                  <c:v>0.77222799999999991</c:v>
                </c:pt>
                <c:pt idx="3">
                  <c:v>5.0087E-2</c:v>
                </c:pt>
                <c:pt idx="4">
                  <c:v>8.7807999999999997E-2</c:v>
                </c:pt>
                <c:pt idx="5">
                  <c:v>1.6198000000000001E-2</c:v>
                </c:pt>
                <c:pt idx="6">
                  <c:v>2.9E-5</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Telecom - Services</c:v>
                </c:pt>
                <c:pt idx="2">
                  <c:v>Automobiles</c:v>
                </c:pt>
                <c:pt idx="3">
                  <c:v>Retailing</c:v>
                </c:pt>
                <c:pt idx="4">
                  <c:v>Finance</c:v>
                </c:pt>
                <c:pt idx="5">
                  <c:v>Petroleum Products</c:v>
                </c:pt>
                <c:pt idx="6">
                  <c:v>IT - Software</c:v>
                </c:pt>
                <c:pt idx="7">
                  <c:v>Electrical Equipment</c:v>
                </c:pt>
                <c:pt idx="8">
                  <c:v>Ferrous Metals</c:v>
                </c:pt>
                <c:pt idx="9">
                  <c:v>Pharmaceuticals &amp; Biotechnology</c:v>
                </c:pt>
                <c:pt idx="10">
                  <c:v>Insurance</c:v>
                </c:pt>
                <c:pt idx="11">
                  <c:v>Diversified FMCG</c:v>
                </c:pt>
                <c:pt idx="12">
                  <c:v>Transport Services</c:v>
                </c:pt>
                <c:pt idx="13">
                  <c:v>Auto Components</c:v>
                </c:pt>
                <c:pt idx="14">
                  <c:v>Construction</c:v>
                </c:pt>
                <c:pt idx="15">
                  <c:v>Chemicals &amp; Petrochemicals</c:v>
                </c:pt>
                <c:pt idx="16">
                  <c:v>Beverages</c:v>
                </c:pt>
                <c:pt idx="17">
                  <c:v>Power</c:v>
                </c:pt>
                <c:pt idx="18">
                  <c:v>Non - Ferrous Metals</c:v>
                </c:pt>
                <c:pt idx="19">
                  <c:v>Consumable Fuels</c:v>
                </c:pt>
                <c:pt idx="20">
                  <c:v>Realty</c:v>
                </c:pt>
                <c:pt idx="21">
                  <c:v>Consumer Durables</c:v>
                </c:pt>
                <c:pt idx="22">
                  <c:v>Fertilizers &amp; Agrochemicals</c:v>
                </c:pt>
                <c:pt idx="23">
                  <c:v>Transport Infrastructure</c:v>
                </c:pt>
                <c:pt idx="24">
                  <c:v>Capital Markets</c:v>
                </c:pt>
                <c:pt idx="25">
                  <c:v>Leisure Services</c:v>
                </c:pt>
                <c:pt idx="26">
                  <c:v>Entertainment</c:v>
                </c:pt>
                <c:pt idx="27">
                  <c:v>Gas</c:v>
                </c:pt>
                <c:pt idx="28">
                  <c:v>Healthcare Services</c:v>
                </c:pt>
              </c:strCache>
            </c:strRef>
          </c:cat>
          <c:val>
            <c:numRef>
              <c:f>'BANDHAN RF'!$Q$7:$Q$35</c:f>
              <c:numCache>
                <c:formatCode>0.00%</c:formatCode>
                <c:ptCount val="29"/>
                <c:pt idx="0">
                  <c:v>9.2479000000000006E-2</c:v>
                </c:pt>
                <c:pt idx="1">
                  <c:v>5.6247999999999999E-2</c:v>
                </c:pt>
                <c:pt idx="2">
                  <c:v>3.8747000000000004E-2</c:v>
                </c:pt>
                <c:pt idx="3">
                  <c:v>3.4321999999999998E-2</c:v>
                </c:pt>
                <c:pt idx="4">
                  <c:v>3.4084999999999997E-2</c:v>
                </c:pt>
                <c:pt idx="5">
                  <c:v>3.1979999999999995E-2</c:v>
                </c:pt>
                <c:pt idx="6">
                  <c:v>3.0489000000000002E-2</c:v>
                </c:pt>
                <c:pt idx="7">
                  <c:v>2.1948000000000002E-2</c:v>
                </c:pt>
                <c:pt idx="8">
                  <c:v>2.1097999999999999E-2</c:v>
                </c:pt>
                <c:pt idx="9">
                  <c:v>1.9133999999999998E-2</c:v>
                </c:pt>
                <c:pt idx="10">
                  <c:v>1.7748E-2</c:v>
                </c:pt>
                <c:pt idx="11">
                  <c:v>1.7409000000000001E-2</c:v>
                </c:pt>
                <c:pt idx="12">
                  <c:v>1.5799000000000001E-2</c:v>
                </c:pt>
                <c:pt idx="13">
                  <c:v>1.3867000000000001E-2</c:v>
                </c:pt>
                <c:pt idx="14">
                  <c:v>1.362E-2</c:v>
                </c:pt>
                <c:pt idx="15">
                  <c:v>1.3579000000000001E-2</c:v>
                </c:pt>
                <c:pt idx="16">
                  <c:v>1.3256999999999998E-2</c:v>
                </c:pt>
                <c:pt idx="17">
                  <c:v>1.2515E-2</c:v>
                </c:pt>
                <c:pt idx="18">
                  <c:v>9.894E-3</c:v>
                </c:pt>
                <c:pt idx="19">
                  <c:v>9.4940000000000007E-3</c:v>
                </c:pt>
                <c:pt idx="20">
                  <c:v>9.0869999999999996E-3</c:v>
                </c:pt>
                <c:pt idx="21">
                  <c:v>8.0289999999999979E-3</c:v>
                </c:pt>
                <c:pt idx="22">
                  <c:v>6.502E-3</c:v>
                </c:pt>
                <c:pt idx="23">
                  <c:v>5.5579999999999996E-3</c:v>
                </c:pt>
                <c:pt idx="24">
                  <c:v>4.2379999999999996E-3</c:v>
                </c:pt>
                <c:pt idx="25">
                  <c:v>3.2729999999999999E-3</c:v>
                </c:pt>
                <c:pt idx="26">
                  <c:v>1.874E-3</c:v>
                </c:pt>
                <c:pt idx="27">
                  <c:v>9.1E-4</c:v>
                </c:pt>
                <c:pt idx="28">
                  <c:v>5.5000000000000003E-4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MAF'!$P$7:$P$45</c:f>
              <c:strCache>
                <c:ptCount val="39"/>
                <c:pt idx="0">
                  <c:v>Banks</c:v>
                </c:pt>
                <c:pt idx="1">
                  <c:v>Retailing</c:v>
                </c:pt>
                <c:pt idx="2">
                  <c:v>IT - Software</c:v>
                </c:pt>
                <c:pt idx="3">
                  <c:v>Finance</c:v>
                </c:pt>
                <c:pt idx="4">
                  <c:v>Pharmaceuticals &amp; Biotechnology</c:v>
                </c:pt>
                <c:pt idx="5">
                  <c:v>Automobiles</c:v>
                </c:pt>
                <c:pt idx="6">
                  <c:v>Consumer Durables</c:v>
                </c:pt>
                <c:pt idx="7">
                  <c:v>Insurance</c:v>
                </c:pt>
                <c:pt idx="8">
                  <c:v>Petroleum Products</c:v>
                </c:pt>
                <c:pt idx="9">
                  <c:v>Auto Components</c:v>
                </c:pt>
                <c:pt idx="10">
                  <c:v>Construction</c:v>
                </c:pt>
                <c:pt idx="11">
                  <c:v>Realty</c:v>
                </c:pt>
                <c:pt idx="12">
                  <c:v>Ferrous Metals</c:v>
                </c:pt>
                <c:pt idx="13">
                  <c:v>Commercial Services &amp; Supplies</c:v>
                </c:pt>
                <c:pt idx="14">
                  <c:v>Cement &amp; Cement Products</c:v>
                </c:pt>
                <c:pt idx="15">
                  <c:v>Capital Markets</c:v>
                </c:pt>
                <c:pt idx="16">
                  <c:v>Healthcare Services</c:v>
                </c:pt>
                <c:pt idx="17">
                  <c:v>Leisure Services</c:v>
                </c:pt>
                <c:pt idx="18">
                  <c:v>Personal Products</c:v>
                </c:pt>
                <c:pt idx="19">
                  <c:v>Telecom - Services</c:v>
                </c:pt>
                <c:pt idx="20">
                  <c:v>Fertilizers &amp; Agrochemicals</c:v>
                </c:pt>
                <c:pt idx="21">
                  <c:v>Diversified FMCG</c:v>
                </c:pt>
                <c:pt idx="22">
                  <c:v>Electrical Equipment</c:v>
                </c:pt>
                <c:pt idx="23">
                  <c:v>Transport Services</c:v>
                </c:pt>
                <c:pt idx="24">
                  <c:v>Food Products</c:v>
                </c:pt>
                <c:pt idx="25">
                  <c:v>Minerals &amp; Mining</c:v>
                </c:pt>
                <c:pt idx="26">
                  <c:v>Agricultural, Commercial &amp; Construction Vehicles</c:v>
                </c:pt>
                <c:pt idx="27">
                  <c:v>Industrial Products</c:v>
                </c:pt>
                <c:pt idx="28">
                  <c:v>Beverages</c:v>
                </c:pt>
                <c:pt idx="29">
                  <c:v>Power</c:v>
                </c:pt>
                <c:pt idx="30">
                  <c:v>Oil</c:v>
                </c:pt>
                <c:pt idx="31">
                  <c:v>Industrial Manufacturing</c:v>
                </c:pt>
                <c:pt idx="32">
                  <c:v>IT - Services</c:v>
                </c:pt>
                <c:pt idx="33">
                  <c:v>Telecom - Equipment &amp; Accessories</c:v>
                </c:pt>
                <c:pt idx="34">
                  <c:v>Diversified Metals</c:v>
                </c:pt>
                <c:pt idx="35">
                  <c:v>Gas</c:v>
                </c:pt>
                <c:pt idx="36">
                  <c:v>Textiles &amp; Apparels</c:v>
                </c:pt>
                <c:pt idx="37">
                  <c:v>Financial Technology (Fintech)</c:v>
                </c:pt>
                <c:pt idx="38">
                  <c:v>Non - Ferrous Metals</c:v>
                </c:pt>
              </c:strCache>
            </c:strRef>
          </c:cat>
          <c:val>
            <c:numRef>
              <c:f>'BANDHAN MAF'!$Q$7:$Q$45</c:f>
              <c:numCache>
                <c:formatCode>0.00%</c:formatCode>
                <c:ptCount val="39"/>
                <c:pt idx="0">
                  <c:v>9.6714000000000036E-2</c:v>
                </c:pt>
                <c:pt idx="1">
                  <c:v>3.5243000000000003E-2</c:v>
                </c:pt>
                <c:pt idx="2">
                  <c:v>2.8683999999999998E-2</c:v>
                </c:pt>
                <c:pt idx="3">
                  <c:v>2.8196000000000009E-2</c:v>
                </c:pt>
                <c:pt idx="4">
                  <c:v>2.7166000000000006E-2</c:v>
                </c:pt>
                <c:pt idx="5">
                  <c:v>2.5110999999999998E-2</c:v>
                </c:pt>
                <c:pt idx="6">
                  <c:v>2.4916000000000001E-2</c:v>
                </c:pt>
                <c:pt idx="7">
                  <c:v>2.3014000000000003E-2</c:v>
                </c:pt>
                <c:pt idx="8">
                  <c:v>2.2000000000000002E-2</c:v>
                </c:pt>
                <c:pt idx="9">
                  <c:v>1.5308E-2</c:v>
                </c:pt>
                <c:pt idx="10">
                  <c:v>1.1394000000000001E-2</c:v>
                </c:pt>
                <c:pt idx="11">
                  <c:v>1.1344999999999999E-2</c:v>
                </c:pt>
                <c:pt idx="12">
                  <c:v>1.0779000000000004E-2</c:v>
                </c:pt>
                <c:pt idx="13">
                  <c:v>9.273E-3</c:v>
                </c:pt>
                <c:pt idx="14">
                  <c:v>9.0119999999999992E-3</c:v>
                </c:pt>
                <c:pt idx="15">
                  <c:v>8.9470000000000001E-3</c:v>
                </c:pt>
                <c:pt idx="16">
                  <c:v>8.6859999999999993E-3</c:v>
                </c:pt>
                <c:pt idx="17">
                  <c:v>8.6470000000000002E-3</c:v>
                </c:pt>
                <c:pt idx="18">
                  <c:v>8.4529999999999987E-3</c:v>
                </c:pt>
                <c:pt idx="19">
                  <c:v>7.8709999999999995E-3</c:v>
                </c:pt>
                <c:pt idx="20">
                  <c:v>7.4909999999999994E-3</c:v>
                </c:pt>
                <c:pt idx="21">
                  <c:v>7.1510000000000002E-3</c:v>
                </c:pt>
                <c:pt idx="22">
                  <c:v>6.3090000000000004E-3</c:v>
                </c:pt>
                <c:pt idx="23">
                  <c:v>5.8989999999999997E-3</c:v>
                </c:pt>
                <c:pt idx="24">
                  <c:v>5.5919999999999997E-3</c:v>
                </c:pt>
                <c:pt idx="25">
                  <c:v>5.1109999999999992E-3</c:v>
                </c:pt>
                <c:pt idx="26">
                  <c:v>4.8960000000000002E-3</c:v>
                </c:pt>
                <c:pt idx="27">
                  <c:v>4.6979999999999999E-3</c:v>
                </c:pt>
                <c:pt idx="28">
                  <c:v>4.6129999999999999E-3</c:v>
                </c:pt>
                <c:pt idx="29">
                  <c:v>4.3169999999999971E-3</c:v>
                </c:pt>
                <c:pt idx="30">
                  <c:v>4.28E-3</c:v>
                </c:pt>
                <c:pt idx="31">
                  <c:v>3.9960000000000004E-3</c:v>
                </c:pt>
                <c:pt idx="32">
                  <c:v>3.869E-3</c:v>
                </c:pt>
                <c:pt idx="33">
                  <c:v>3.568E-3</c:v>
                </c:pt>
                <c:pt idx="34">
                  <c:v>3.388E-3</c:v>
                </c:pt>
                <c:pt idx="35">
                  <c:v>2.8890000000000001E-3</c:v>
                </c:pt>
                <c:pt idx="36">
                  <c:v>2.6020000000000001E-3</c:v>
                </c:pt>
                <c:pt idx="37">
                  <c:v>2.284E-3</c:v>
                </c:pt>
                <c:pt idx="38">
                  <c:v>-1.2000000000000075E-5</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(31st May 2025)</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MAF'!$P$7:$P$45</c:f>
              <c:strCache>
                <c:ptCount val="39"/>
                <c:pt idx="0">
                  <c:v>Banks</c:v>
                </c:pt>
                <c:pt idx="1">
                  <c:v>Retailing</c:v>
                </c:pt>
                <c:pt idx="2">
                  <c:v>IT - Software</c:v>
                </c:pt>
                <c:pt idx="3">
                  <c:v>Finance</c:v>
                </c:pt>
                <c:pt idx="4">
                  <c:v>Pharmaceuticals &amp; Biotechnology</c:v>
                </c:pt>
                <c:pt idx="5">
                  <c:v>Automobiles</c:v>
                </c:pt>
                <c:pt idx="6">
                  <c:v>Consumer Durables</c:v>
                </c:pt>
                <c:pt idx="7">
                  <c:v>Insurance</c:v>
                </c:pt>
                <c:pt idx="8">
                  <c:v>Petroleum Products</c:v>
                </c:pt>
                <c:pt idx="9">
                  <c:v>Auto Components</c:v>
                </c:pt>
                <c:pt idx="10">
                  <c:v>Construction</c:v>
                </c:pt>
                <c:pt idx="11">
                  <c:v>Realty</c:v>
                </c:pt>
                <c:pt idx="12">
                  <c:v>Ferrous Metals</c:v>
                </c:pt>
                <c:pt idx="13">
                  <c:v>Commercial Services &amp; Supplies</c:v>
                </c:pt>
                <c:pt idx="14">
                  <c:v>Cement &amp; Cement Products</c:v>
                </c:pt>
                <c:pt idx="15">
                  <c:v>Capital Markets</c:v>
                </c:pt>
                <c:pt idx="16">
                  <c:v>Healthcare Services</c:v>
                </c:pt>
                <c:pt idx="17">
                  <c:v>Leisure Services</c:v>
                </c:pt>
                <c:pt idx="18">
                  <c:v>Personal Products</c:v>
                </c:pt>
                <c:pt idx="19">
                  <c:v>Telecom - Services</c:v>
                </c:pt>
                <c:pt idx="20">
                  <c:v>Fertilizers &amp; Agrochemicals</c:v>
                </c:pt>
                <c:pt idx="21">
                  <c:v>Diversified FMCG</c:v>
                </c:pt>
                <c:pt idx="22">
                  <c:v>Electrical Equipment</c:v>
                </c:pt>
                <c:pt idx="23">
                  <c:v>Transport Services</c:v>
                </c:pt>
                <c:pt idx="24">
                  <c:v>Food Products</c:v>
                </c:pt>
                <c:pt idx="25">
                  <c:v>Minerals &amp; Mining</c:v>
                </c:pt>
                <c:pt idx="26">
                  <c:v>Agricultural, Commercial &amp; Construction Vehicles</c:v>
                </c:pt>
                <c:pt idx="27">
                  <c:v>Industrial Products</c:v>
                </c:pt>
                <c:pt idx="28">
                  <c:v>Beverages</c:v>
                </c:pt>
                <c:pt idx="29">
                  <c:v>Power</c:v>
                </c:pt>
                <c:pt idx="30">
                  <c:v>Oil</c:v>
                </c:pt>
                <c:pt idx="31">
                  <c:v>Industrial Manufacturing</c:v>
                </c:pt>
                <c:pt idx="32">
                  <c:v>IT - Services</c:v>
                </c:pt>
                <c:pt idx="33">
                  <c:v>Telecom - Equipment &amp; Accessories</c:v>
                </c:pt>
                <c:pt idx="34">
                  <c:v>Diversified Metals</c:v>
                </c:pt>
                <c:pt idx="35">
                  <c:v>Gas</c:v>
                </c:pt>
                <c:pt idx="36">
                  <c:v>Textiles &amp; Apparels</c:v>
                </c:pt>
                <c:pt idx="37">
                  <c:v>Financial Technology (Fintech)</c:v>
                </c:pt>
                <c:pt idx="38">
                  <c:v>Non - Ferrous Metals</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0.31559499999999996</c:v>
                </c:pt>
                <c:pt idx="1">
                  <c:v>0.66211699999999996</c:v>
                </c:pt>
                <c:pt idx="2">
                  <c:v>2.2288000000000002E-2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0.49838900000000008</c:v>
                </c:pt>
                <c:pt idx="1">
                  <c:v>0.49207000000000001</c:v>
                </c:pt>
                <c:pt idx="2">
                  <c:v>9.5409999999999991E-3</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0.735039</c:v>
                </c:pt>
                <c:pt idx="1">
                  <c:v>0.24126</c:v>
                </c:pt>
                <c:pt idx="2">
                  <c:v>2.3701E-2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B4C0-4BFE-9FBA-C6BEB686441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IPAFOFs'!$G$8</c:f>
              <c:strCache>
                <c:ptCount val="1"/>
                <c:pt idx="0">
                  <c:v>AAA EQUIVALENT</c:v>
                </c:pt>
              </c:strCache>
            </c:strRef>
          </c:cat>
          <c:val>
            <c:numRef>
              <c:f>'BANDHAN IPAFOFs'!$H$8</c:f>
              <c:numCache>
                <c:formatCode>0%</c:formatCode>
                <c:ptCount val="1"/>
                <c:pt idx="0">
                  <c:v>1</c:v>
                </c:pt>
              </c:numCache>
            </c:numRef>
          </c:val>
          <c:extLst>
            <c:ext xmlns:c16="http://schemas.microsoft.com/office/drawing/2014/chart" uri="{C3380CC4-5D6E-409C-BE32-E72D297353CC}">
              <c16:uniqueId val="{00000001-B4C0-4BFE-9FBA-C6BEB686441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IPAFOFs'!$K$8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3E89-45F6-A226-BC712B1165A7}"/>
                </c:ext>
              </c:extLst>
            </c:dLbl>
            <c:dLbl>
              <c:idx val="1"/>
              <c:layout>
                <c:manualLayout>
                  <c:x val="0.24963681734643983"/>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3E89-45F6-A226-BC712B1165A7}"/>
                </c:ext>
              </c:extLst>
            </c:dLbl>
            <c:dLbl>
              <c:idx val="2"/>
              <c:layout>
                <c:manualLayout>
                  <c:x val="-0.36124787131801245"/>
                  <c:y val="9.736482939632546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3E89-45F6-A226-BC712B1165A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IPAFOFs'!$J$9:$J$11</c:f>
              <c:strCache>
                <c:ptCount val="3"/>
                <c:pt idx="0">
                  <c:v>Net Current Asset</c:v>
                </c:pt>
                <c:pt idx="1">
                  <c:v>TRI Party Repo</c:v>
                </c:pt>
                <c:pt idx="2">
                  <c:v>Mutual Fund Units</c:v>
                </c:pt>
              </c:strCache>
            </c:strRef>
          </c:cat>
          <c:val>
            <c:numRef>
              <c:f>'BANDHAN IPAFOFs'!$K$9:$K$11</c:f>
              <c:numCache>
                <c:formatCode>0.00%</c:formatCode>
                <c:ptCount val="3"/>
                <c:pt idx="0">
                  <c:v>4.4999999999999999E-4</c:v>
                </c:pt>
                <c:pt idx="1">
                  <c:v>9.0639999999999991E-3</c:v>
                </c:pt>
                <c:pt idx="2">
                  <c:v>0.99048599999999998</c:v>
                </c:pt>
              </c:numCache>
            </c:numRef>
          </c:val>
          <c:extLst>
            <c:ext xmlns:c16="http://schemas.microsoft.com/office/drawing/2014/chart" uri="{C3380CC4-5D6E-409C-BE32-E72D297353CC}">
              <c16:uniqueId val="{00000003-3E89-45F6-A226-BC712B1165A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Index'!$W$8:$W$31</c:f>
              <c:strCache>
                <c:ptCount val="24"/>
                <c:pt idx="0">
                  <c:v>Banks</c:v>
                </c:pt>
                <c:pt idx="1">
                  <c:v>IT - Software</c:v>
                </c:pt>
                <c:pt idx="2">
                  <c:v>Petroleum Products</c:v>
                </c:pt>
                <c:pt idx="3">
                  <c:v>Automobiles</c:v>
                </c:pt>
                <c:pt idx="4">
                  <c:v>Diversified FMCG</c:v>
                </c:pt>
                <c:pt idx="5">
                  <c:v>Finance</c:v>
                </c:pt>
                <c:pt idx="6">
                  <c:v>Telecom - Services</c:v>
                </c:pt>
                <c:pt idx="7">
                  <c:v>Construction</c:v>
                </c:pt>
                <c:pt idx="8">
                  <c:v>Pharmaceuticals &amp; Biotechnology</c:v>
                </c:pt>
                <c:pt idx="9">
                  <c:v>Retailing</c:v>
                </c:pt>
                <c:pt idx="10">
                  <c:v>Power</c:v>
                </c:pt>
                <c:pt idx="11">
                  <c:v>Consumer Durables</c:v>
                </c:pt>
                <c:pt idx="12">
                  <c:v>Cement &amp; Cement Products</c:v>
                </c:pt>
                <c:pt idx="13">
                  <c:v>Ferrous Metals</c:v>
                </c:pt>
                <c:pt idx="14">
                  <c:v>Insurance</c:v>
                </c:pt>
                <c:pt idx="15">
                  <c:v>Aerospace &amp; Defense</c:v>
                </c:pt>
                <c:pt idx="16">
                  <c:v>Transport Infrastructure</c:v>
                </c:pt>
                <c:pt idx="17">
                  <c:v>Oil</c:v>
                </c:pt>
                <c:pt idx="18">
                  <c:v>Non - Ferrous Metals</c:v>
                </c:pt>
                <c:pt idx="19">
                  <c:v>Consumable Fuels</c:v>
                </c:pt>
                <c:pt idx="20">
                  <c:v>Food Products</c:v>
                </c:pt>
                <c:pt idx="21">
                  <c:v>Agricultural Food &amp; other Products</c:v>
                </c:pt>
                <c:pt idx="22">
                  <c:v>Healthcare Services</c:v>
                </c:pt>
                <c:pt idx="23">
                  <c:v>Metals &amp; Minerals Trading</c:v>
                </c:pt>
              </c:strCache>
            </c:strRef>
          </c:cat>
          <c:val>
            <c:numRef>
              <c:f>'BANDHAN-NIFTY 50 Index'!$X$8:$X$31</c:f>
              <c:numCache>
                <c:formatCode>0.00%</c:formatCode>
                <c:ptCount val="24"/>
                <c:pt idx="0">
                  <c:v>0.313106</c:v>
                </c:pt>
                <c:pt idx="1">
                  <c:v>0.112399</c:v>
                </c:pt>
                <c:pt idx="2">
                  <c:v>8.5836999999999997E-2</c:v>
                </c:pt>
                <c:pt idx="3">
                  <c:v>7.135699999999999E-2</c:v>
                </c:pt>
                <c:pt idx="4">
                  <c:v>5.3279E-2</c:v>
                </c:pt>
                <c:pt idx="5">
                  <c:v>4.7542000000000001E-2</c:v>
                </c:pt>
                <c:pt idx="6">
                  <c:v>4.4400000000000002E-2</c:v>
                </c:pt>
                <c:pt idx="7">
                  <c:v>3.8467000000000001E-2</c:v>
                </c:pt>
                <c:pt idx="8">
                  <c:v>3.0283999999999998E-2</c:v>
                </c:pt>
                <c:pt idx="9">
                  <c:v>2.5945000000000003E-2</c:v>
                </c:pt>
                <c:pt idx="10">
                  <c:v>2.5826000000000002E-2</c:v>
                </c:pt>
                <c:pt idx="11">
                  <c:v>2.2183999999999999E-2</c:v>
                </c:pt>
                <c:pt idx="12">
                  <c:v>2.0340999999999998E-2</c:v>
                </c:pt>
                <c:pt idx="13">
                  <c:v>2.0276000000000002E-2</c:v>
                </c:pt>
                <c:pt idx="14">
                  <c:v>1.4657E-2</c:v>
                </c:pt>
                <c:pt idx="15">
                  <c:v>1.2281E-2</c:v>
                </c:pt>
                <c:pt idx="16">
                  <c:v>9.4280000000000006E-3</c:v>
                </c:pt>
                <c:pt idx="17">
                  <c:v>8.2909999999999998E-3</c:v>
                </c:pt>
                <c:pt idx="18">
                  <c:v>8.1779999999999995E-3</c:v>
                </c:pt>
                <c:pt idx="19">
                  <c:v>8.0459999999999993E-3</c:v>
                </c:pt>
                <c:pt idx="20">
                  <c:v>7.6610000000000003E-3</c:v>
                </c:pt>
                <c:pt idx="21">
                  <c:v>6.4229999999999999E-3</c:v>
                </c:pt>
                <c:pt idx="22">
                  <c:v>6.1980000000000004E-3</c:v>
                </c:pt>
                <c:pt idx="23">
                  <c:v>5.8520000000000004E-3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SENSEX ETF'!$W$8:$W$23</c:f>
              <c:strCache>
                <c:ptCount val="16"/>
                <c:pt idx="0">
                  <c:v>Banks</c:v>
                </c:pt>
                <c:pt idx="1">
                  <c:v>IT - Software</c:v>
                </c:pt>
                <c:pt idx="2">
                  <c:v>Petroleum Products</c:v>
                </c:pt>
                <c:pt idx="3">
                  <c:v>Diversified FMCG</c:v>
                </c:pt>
                <c:pt idx="4">
                  <c:v>Automobiles</c:v>
                </c:pt>
                <c:pt idx="5">
                  <c:v>Telecom - Services</c:v>
                </c:pt>
                <c:pt idx="6">
                  <c:v>Construction</c:v>
                </c:pt>
                <c:pt idx="7">
                  <c:v>Finance</c:v>
                </c:pt>
                <c:pt idx="8">
                  <c:v>Power</c:v>
                </c:pt>
                <c:pt idx="9">
                  <c:v>Consumer Durables</c:v>
                </c:pt>
                <c:pt idx="10">
                  <c:v>Pharmaceuticals &amp; Biotechnology</c:v>
                </c:pt>
                <c:pt idx="11">
                  <c:v>Retailing</c:v>
                </c:pt>
                <c:pt idx="12">
                  <c:v>Ferrous Metals</c:v>
                </c:pt>
                <c:pt idx="13">
                  <c:v>Cement &amp; Cement Products</c:v>
                </c:pt>
                <c:pt idx="14">
                  <c:v>Transport Infrastructure</c:v>
                </c:pt>
                <c:pt idx="15">
                  <c:v>Food Products</c:v>
                </c:pt>
              </c:strCache>
            </c:strRef>
          </c:cat>
          <c:val>
            <c:numRef>
              <c:f>'BANDHAN BSE SENSEX ETF'!$X$8:$X$23</c:f>
              <c:numCache>
                <c:formatCode>0.00%</c:formatCode>
                <c:ptCount val="16"/>
                <c:pt idx="0">
                  <c:v>0.371008</c:v>
                </c:pt>
                <c:pt idx="1">
                  <c:v>0.12499300000000001</c:v>
                </c:pt>
                <c:pt idx="2">
                  <c:v>0.101565</c:v>
                </c:pt>
                <c:pt idx="3">
                  <c:v>6.2968999999999997E-2</c:v>
                </c:pt>
                <c:pt idx="4">
                  <c:v>6.0708999999999999E-2</c:v>
                </c:pt>
                <c:pt idx="5">
                  <c:v>5.2520999999999998E-2</c:v>
                </c:pt>
                <c:pt idx="6">
                  <c:v>4.5282999999999997E-2</c:v>
                </c:pt>
                <c:pt idx="7">
                  <c:v>3.6881999999999998E-2</c:v>
                </c:pt>
                <c:pt idx="8">
                  <c:v>3.0726E-2</c:v>
                </c:pt>
                <c:pt idx="9">
                  <c:v>2.6074E-2</c:v>
                </c:pt>
                <c:pt idx="10">
                  <c:v>1.9179000000000002E-2</c:v>
                </c:pt>
                <c:pt idx="11">
                  <c:v>1.7531000000000001E-2</c:v>
                </c:pt>
                <c:pt idx="12">
                  <c:v>1.4014E-2</c:v>
                </c:pt>
                <c:pt idx="13">
                  <c:v>1.3613E-2</c:v>
                </c:pt>
                <c:pt idx="14">
                  <c:v>1.1145E-2</c:v>
                </c:pt>
                <c:pt idx="15">
                  <c:v>9.1299999999999992E-3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ETF'!$W$8:$W$31</c:f>
              <c:strCache>
                <c:ptCount val="24"/>
                <c:pt idx="0">
                  <c:v>Banks</c:v>
                </c:pt>
                <c:pt idx="1">
                  <c:v>IT - Software</c:v>
                </c:pt>
                <c:pt idx="2">
                  <c:v>Petroleum Products</c:v>
                </c:pt>
                <c:pt idx="3">
                  <c:v>Automobiles</c:v>
                </c:pt>
                <c:pt idx="4">
                  <c:v>Diversified FMCG</c:v>
                </c:pt>
                <c:pt idx="5">
                  <c:v>Finance</c:v>
                </c:pt>
                <c:pt idx="6">
                  <c:v>Telecom - Services</c:v>
                </c:pt>
                <c:pt idx="7">
                  <c:v>Construction</c:v>
                </c:pt>
                <c:pt idx="8">
                  <c:v>Pharmaceuticals &amp; Biotechnology</c:v>
                </c:pt>
                <c:pt idx="9">
                  <c:v>Retailing</c:v>
                </c:pt>
                <c:pt idx="10">
                  <c:v>Power</c:v>
                </c:pt>
                <c:pt idx="11">
                  <c:v>Consumer Durables</c:v>
                </c:pt>
                <c:pt idx="12">
                  <c:v>Cement &amp; Cement Products</c:v>
                </c:pt>
                <c:pt idx="13">
                  <c:v>Ferrous Metals</c:v>
                </c:pt>
                <c:pt idx="14">
                  <c:v>Insurance</c:v>
                </c:pt>
                <c:pt idx="15">
                  <c:v>Aerospace &amp; Defense</c:v>
                </c:pt>
                <c:pt idx="16">
                  <c:v>Transport Infrastructure</c:v>
                </c:pt>
                <c:pt idx="17">
                  <c:v>Oil</c:v>
                </c:pt>
                <c:pt idx="18">
                  <c:v>Non - Ferrous Metals</c:v>
                </c:pt>
                <c:pt idx="19">
                  <c:v>Consumable Fuels</c:v>
                </c:pt>
                <c:pt idx="20">
                  <c:v>Food Products</c:v>
                </c:pt>
                <c:pt idx="21">
                  <c:v>Agricultural Food &amp; other Products</c:v>
                </c:pt>
                <c:pt idx="22">
                  <c:v>Healthcare Services</c:v>
                </c:pt>
                <c:pt idx="23">
                  <c:v>Metals &amp; Minerals Trading</c:v>
                </c:pt>
              </c:strCache>
            </c:strRef>
          </c:cat>
          <c:val>
            <c:numRef>
              <c:f>'BANDHAN- Nifty 50 ETF'!$X$8:$X$31</c:f>
              <c:numCache>
                <c:formatCode>0.00%</c:formatCode>
                <c:ptCount val="24"/>
                <c:pt idx="0">
                  <c:v>0.31286900000000001</c:v>
                </c:pt>
                <c:pt idx="1">
                  <c:v>0.11231099999999999</c:v>
                </c:pt>
                <c:pt idx="2">
                  <c:v>8.5774000000000003E-2</c:v>
                </c:pt>
                <c:pt idx="3">
                  <c:v>7.1318999999999994E-2</c:v>
                </c:pt>
                <c:pt idx="4">
                  <c:v>5.3242999999999999E-2</c:v>
                </c:pt>
                <c:pt idx="5">
                  <c:v>4.7504999999999999E-2</c:v>
                </c:pt>
                <c:pt idx="6">
                  <c:v>4.437E-2</c:v>
                </c:pt>
                <c:pt idx="7">
                  <c:v>3.8439000000000001E-2</c:v>
                </c:pt>
                <c:pt idx="8">
                  <c:v>3.0262999999999998E-2</c:v>
                </c:pt>
                <c:pt idx="9">
                  <c:v>2.5933999999999999E-2</c:v>
                </c:pt>
                <c:pt idx="10">
                  <c:v>2.5806000000000003E-2</c:v>
                </c:pt>
                <c:pt idx="11">
                  <c:v>2.2171E-2</c:v>
                </c:pt>
                <c:pt idx="12">
                  <c:v>2.0309000000000001E-2</c:v>
                </c:pt>
                <c:pt idx="13">
                  <c:v>2.0261000000000001E-2</c:v>
                </c:pt>
                <c:pt idx="14">
                  <c:v>1.4644000000000001E-2</c:v>
                </c:pt>
                <c:pt idx="15">
                  <c:v>1.2272E-2</c:v>
                </c:pt>
                <c:pt idx="16">
                  <c:v>9.4199999999999996E-3</c:v>
                </c:pt>
                <c:pt idx="17">
                  <c:v>8.2839999999999997E-3</c:v>
                </c:pt>
                <c:pt idx="18">
                  <c:v>8.1720000000000004E-3</c:v>
                </c:pt>
                <c:pt idx="19">
                  <c:v>8.0400000000000003E-3</c:v>
                </c:pt>
                <c:pt idx="20">
                  <c:v>7.6550000000000003E-3</c:v>
                </c:pt>
                <c:pt idx="21">
                  <c:v>6.4190000000000002E-3</c:v>
                </c:pt>
                <c:pt idx="22">
                  <c:v>6.1929999999999997E-3</c:v>
                </c:pt>
                <c:pt idx="23">
                  <c:v>5.8450000000000004E-3</c:v>
                </c:pt>
              </c:numCache>
            </c:numRef>
          </c:val>
          <c:extLst>
            <c:ext xmlns:c16="http://schemas.microsoft.com/office/drawing/2014/chart" uri="{C3380CC4-5D6E-409C-BE32-E72D297353CC}">
              <c16:uniqueId val="{00000012-A344-47EB-86E0-95B4320B4A70}"/>
            </c:ext>
          </c:extLst>
        </c:ser>
        <c:ser>
          <c:idx val="1"/>
          <c:order val="1"/>
          <c:tx>
            <c:strRef>
              <c:f>'BANDHAN BSE SENSEX ETF'!$C$4</c:f>
              <c:strCache>
                <c:ptCount val="1"/>
                <c:pt idx="0">
                  <c:v>Portfolio as on - (31st May 2025)</c:v>
                </c:pt>
              </c:strCache>
            </c:strRef>
          </c:tx>
          <c:invertIfNegative val="0"/>
          <c:cat>
            <c:strRef>
              <c:f>'BANDHAN- Nifty 50 ETF'!$W$8:$W$31</c:f>
              <c:strCache>
                <c:ptCount val="24"/>
                <c:pt idx="0">
                  <c:v>Banks</c:v>
                </c:pt>
                <c:pt idx="1">
                  <c:v>IT - Software</c:v>
                </c:pt>
                <c:pt idx="2">
                  <c:v>Petroleum Products</c:v>
                </c:pt>
                <c:pt idx="3">
                  <c:v>Automobiles</c:v>
                </c:pt>
                <c:pt idx="4">
                  <c:v>Diversified FMCG</c:v>
                </c:pt>
                <c:pt idx="5">
                  <c:v>Finance</c:v>
                </c:pt>
                <c:pt idx="6">
                  <c:v>Telecom - Services</c:v>
                </c:pt>
                <c:pt idx="7">
                  <c:v>Construction</c:v>
                </c:pt>
                <c:pt idx="8">
                  <c:v>Pharmaceuticals &amp; Biotechnology</c:v>
                </c:pt>
                <c:pt idx="9">
                  <c:v>Retailing</c:v>
                </c:pt>
                <c:pt idx="10">
                  <c:v>Power</c:v>
                </c:pt>
                <c:pt idx="11">
                  <c:v>Consumer Durables</c:v>
                </c:pt>
                <c:pt idx="12">
                  <c:v>Cement &amp; Cement Products</c:v>
                </c:pt>
                <c:pt idx="13">
                  <c:v>Ferrous Metals</c:v>
                </c:pt>
                <c:pt idx="14">
                  <c:v>Insurance</c:v>
                </c:pt>
                <c:pt idx="15">
                  <c:v>Aerospace &amp; Defense</c:v>
                </c:pt>
                <c:pt idx="16">
                  <c:v>Transport Infrastructure</c:v>
                </c:pt>
                <c:pt idx="17">
                  <c:v>Oil</c:v>
                </c:pt>
                <c:pt idx="18">
                  <c:v>Non - Ferrous Metals</c:v>
                </c:pt>
                <c:pt idx="19">
                  <c:v>Consumable Fuels</c:v>
                </c:pt>
                <c:pt idx="20">
                  <c:v>Food Products</c:v>
                </c:pt>
                <c:pt idx="21">
                  <c:v>Agricultural Food &amp; other Products</c:v>
                </c:pt>
                <c:pt idx="22">
                  <c:v>Healthcare Services</c:v>
                </c:pt>
                <c:pt idx="23">
                  <c:v>Metals &amp; Minerals Trading</c:v>
                </c:pt>
              </c:strCache>
            </c:strRef>
          </c:cat>
          <c:val>
            <c:numRef>
              <c:f>'BANDHAN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Telecom - Services</c:v>
                </c:pt>
                <c:pt idx="7">
                  <c:v>Power</c:v>
                </c:pt>
                <c:pt idx="8">
                  <c:v>Pharmaceuticals &amp; Biotechnology</c:v>
                </c:pt>
                <c:pt idx="9">
                  <c:v>Construction</c:v>
                </c:pt>
                <c:pt idx="10">
                  <c:v>Retailing</c:v>
                </c:pt>
                <c:pt idx="11">
                  <c:v>Cement &amp; Cement Products</c:v>
                </c:pt>
                <c:pt idx="12">
                  <c:v>Consumer Durables</c:v>
                </c:pt>
                <c:pt idx="13">
                  <c:v>Ferrous Metals</c:v>
                </c:pt>
                <c:pt idx="14">
                  <c:v>Insurance</c:v>
                </c:pt>
                <c:pt idx="15">
                  <c:v>Aerospace &amp; Defense</c:v>
                </c:pt>
                <c:pt idx="16">
                  <c:v>Food Products</c:v>
                </c:pt>
                <c:pt idx="17">
                  <c:v>Electrical Equipment</c:v>
                </c:pt>
                <c:pt idx="18">
                  <c:v>Beverages</c:v>
                </c:pt>
                <c:pt idx="19">
                  <c:v>Transport Infrastructure</c:v>
                </c:pt>
                <c:pt idx="20">
                  <c:v>Transport Services</c:v>
                </c:pt>
                <c:pt idx="21">
                  <c:v>Oil</c:v>
                </c:pt>
                <c:pt idx="22">
                  <c:v>Non - Ferrous Metals</c:v>
                </c:pt>
                <c:pt idx="23">
                  <c:v>Realty</c:v>
                </c:pt>
                <c:pt idx="24">
                  <c:v>Consumable Fuels</c:v>
                </c:pt>
                <c:pt idx="25">
                  <c:v>Personal Products</c:v>
                </c:pt>
                <c:pt idx="26">
                  <c:v>Diversified Metals</c:v>
                </c:pt>
                <c:pt idx="27">
                  <c:v>Auto Components</c:v>
                </c:pt>
                <c:pt idx="28">
                  <c:v>Agricultural Food &amp; other Products</c:v>
                </c:pt>
                <c:pt idx="29">
                  <c:v>Healthcare Services</c:v>
                </c:pt>
                <c:pt idx="30">
                  <c:v>Leisure Services</c:v>
                </c:pt>
                <c:pt idx="31">
                  <c:v>Metals &amp; Minerals Trading</c:v>
                </c:pt>
                <c:pt idx="32">
                  <c:v>Gas</c:v>
                </c:pt>
                <c:pt idx="33">
                  <c:v>Chemicals &amp; Petrochemicals</c:v>
                </c:pt>
              </c:strCache>
            </c:strRef>
          </c:cat>
          <c:val>
            <c:numRef>
              <c:f>'BANDHAN-Nifty 100 Index'!$X$8:$X$41</c:f>
              <c:numCache>
                <c:formatCode>0.00%</c:formatCode>
                <c:ptCount val="34"/>
                <c:pt idx="0">
                  <c:v>0.26819199999999999</c:v>
                </c:pt>
                <c:pt idx="1">
                  <c:v>9.6515000000000004E-2</c:v>
                </c:pt>
                <c:pt idx="2">
                  <c:v>7.954E-2</c:v>
                </c:pt>
                <c:pt idx="3">
                  <c:v>6.5548000000000009E-2</c:v>
                </c:pt>
                <c:pt idx="4">
                  <c:v>5.9367999999999997E-2</c:v>
                </c:pt>
                <c:pt idx="5">
                  <c:v>4.4109999999999996E-2</c:v>
                </c:pt>
                <c:pt idx="6">
                  <c:v>3.6761000000000002E-2</c:v>
                </c:pt>
                <c:pt idx="7">
                  <c:v>3.5948000000000001E-2</c:v>
                </c:pt>
                <c:pt idx="8">
                  <c:v>3.5436000000000002E-2</c:v>
                </c:pt>
                <c:pt idx="9">
                  <c:v>3.1848000000000001E-2</c:v>
                </c:pt>
                <c:pt idx="10">
                  <c:v>3.0870999999999999E-2</c:v>
                </c:pt>
                <c:pt idx="11">
                  <c:v>2.2474000000000001E-2</c:v>
                </c:pt>
                <c:pt idx="12">
                  <c:v>2.1212000000000002E-2</c:v>
                </c:pt>
                <c:pt idx="13">
                  <c:v>1.9448E-2</c:v>
                </c:pt>
                <c:pt idx="14">
                  <c:v>1.8924999999999997E-2</c:v>
                </c:pt>
                <c:pt idx="15">
                  <c:v>1.7146000000000002E-2</c:v>
                </c:pt>
                <c:pt idx="16">
                  <c:v>1.1141000000000002E-2</c:v>
                </c:pt>
                <c:pt idx="17">
                  <c:v>9.1559999999999992E-3</c:v>
                </c:pt>
                <c:pt idx="18">
                  <c:v>8.0260000000000001E-3</c:v>
                </c:pt>
                <c:pt idx="19">
                  <c:v>7.8059999999999996E-3</c:v>
                </c:pt>
                <c:pt idx="20">
                  <c:v>7.7200000000000003E-3</c:v>
                </c:pt>
                <c:pt idx="21">
                  <c:v>6.8640000000000003E-3</c:v>
                </c:pt>
                <c:pt idx="22">
                  <c:v>6.7710000000000001E-3</c:v>
                </c:pt>
                <c:pt idx="23">
                  <c:v>6.7189999999999993E-3</c:v>
                </c:pt>
                <c:pt idx="24">
                  <c:v>6.6620000000000004E-3</c:v>
                </c:pt>
                <c:pt idx="25">
                  <c:v>6.4559999999999999E-3</c:v>
                </c:pt>
                <c:pt idx="26">
                  <c:v>5.4559999999999999E-3</c:v>
                </c:pt>
                <c:pt idx="27">
                  <c:v>5.3349999999999995E-3</c:v>
                </c:pt>
                <c:pt idx="28">
                  <c:v>5.3179999999999998E-3</c:v>
                </c:pt>
                <c:pt idx="29">
                  <c:v>5.13E-3</c:v>
                </c:pt>
                <c:pt idx="30">
                  <c:v>4.9909999999999998E-3</c:v>
                </c:pt>
                <c:pt idx="31">
                  <c:v>4.8450000000000003E-3</c:v>
                </c:pt>
                <c:pt idx="32">
                  <c:v>3.7789999999999998E-3</c:v>
                </c:pt>
                <c:pt idx="33">
                  <c:v>3.532E-3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Index'!$W$8:$W$23</c:f>
              <c:strCache>
                <c:ptCount val="16"/>
                <c:pt idx="0">
                  <c:v>IT - Software</c:v>
                </c:pt>
                <c:pt idx="1">
                  <c:v>Pharmaceuticals &amp; Biotechnology</c:v>
                </c:pt>
                <c:pt idx="2">
                  <c:v>Retailing</c:v>
                </c:pt>
                <c:pt idx="3">
                  <c:v>Consumer Durables</c:v>
                </c:pt>
                <c:pt idx="4">
                  <c:v>Telecom - Services</c:v>
                </c:pt>
                <c:pt idx="5">
                  <c:v>Automobiles</c:v>
                </c:pt>
                <c:pt idx="6">
                  <c:v>Aerospace &amp; Defense</c:v>
                </c:pt>
                <c:pt idx="7">
                  <c:v>Capital Markets</c:v>
                </c:pt>
                <c:pt idx="8">
                  <c:v>Financial Technology (Fintech)</c:v>
                </c:pt>
                <c:pt idx="9">
                  <c:v>Leisure Services</c:v>
                </c:pt>
                <c:pt idx="10">
                  <c:v>Auto Components</c:v>
                </c:pt>
                <c:pt idx="11">
                  <c:v>Diversified Metals</c:v>
                </c:pt>
                <c:pt idx="12">
                  <c:v>Beverages</c:v>
                </c:pt>
                <c:pt idx="13">
                  <c:v>Electrical Equipment</c:v>
                </c:pt>
                <c:pt idx="14">
                  <c:v>Banks</c:v>
                </c:pt>
                <c:pt idx="15">
                  <c:v>Oil</c:v>
                </c:pt>
              </c:strCache>
            </c:strRef>
          </c:cat>
          <c:val>
            <c:numRef>
              <c:f>'BANDHAN-Nifty200 Mom30 Index'!$X$8:$X$23</c:f>
              <c:numCache>
                <c:formatCode>0.00%</c:formatCode>
                <c:ptCount val="16"/>
                <c:pt idx="0">
                  <c:v>0.22956099999999999</c:v>
                </c:pt>
                <c:pt idx="1">
                  <c:v>0.13933100000000001</c:v>
                </c:pt>
                <c:pt idx="2">
                  <c:v>0.12148600000000001</c:v>
                </c:pt>
                <c:pt idx="3">
                  <c:v>7.5088000000000002E-2</c:v>
                </c:pt>
                <c:pt idx="4">
                  <c:v>6.1850000000000002E-2</c:v>
                </c:pt>
                <c:pt idx="5">
                  <c:v>5.3316000000000002E-2</c:v>
                </c:pt>
                <c:pt idx="6">
                  <c:v>5.2977999999999997E-2</c:v>
                </c:pt>
                <c:pt idx="7">
                  <c:v>5.0592999999999999E-2</c:v>
                </c:pt>
                <c:pt idx="8">
                  <c:v>4.6367000000000005E-2</c:v>
                </c:pt>
                <c:pt idx="9">
                  <c:v>3.9583E-2</c:v>
                </c:pt>
                <c:pt idx="10">
                  <c:v>2.7630999999999999E-2</c:v>
                </c:pt>
                <c:pt idx="11">
                  <c:v>2.6313E-2</c:v>
                </c:pt>
                <c:pt idx="12">
                  <c:v>2.2314000000000001E-2</c:v>
                </c:pt>
                <c:pt idx="13">
                  <c:v>2.1879999999999997E-2</c:v>
                </c:pt>
                <c:pt idx="14">
                  <c:v>2.1134E-2</c:v>
                </c:pt>
                <c:pt idx="15">
                  <c:v>9.9419999999999994E-3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NIF100LV30'!$W$8:$W$24</c:f>
              <c:strCache>
                <c:ptCount val="17"/>
                <c:pt idx="0">
                  <c:v>Pharmaceuticals &amp; Biotechnology</c:v>
                </c:pt>
                <c:pt idx="1">
                  <c:v>IT - Software</c:v>
                </c:pt>
                <c:pt idx="2">
                  <c:v>Banks</c:v>
                </c:pt>
                <c:pt idx="3">
                  <c:v>Automobiles</c:v>
                </c:pt>
                <c:pt idx="4">
                  <c:v>Food Products</c:v>
                </c:pt>
                <c:pt idx="5">
                  <c:v>Diversified FMCG</c:v>
                </c:pt>
                <c:pt idx="6">
                  <c:v>Consumer Durables</c:v>
                </c:pt>
                <c:pt idx="7">
                  <c:v>Petroleum Products</c:v>
                </c:pt>
                <c:pt idx="8">
                  <c:v>Insurance</c:v>
                </c:pt>
                <c:pt idx="9">
                  <c:v>Healthcare Services</c:v>
                </c:pt>
                <c:pt idx="10">
                  <c:v>Telecom - Services</c:v>
                </c:pt>
                <c:pt idx="11">
                  <c:v>Auto Components</c:v>
                </c:pt>
                <c:pt idx="12">
                  <c:v>Chemicals &amp; Petrochemicals</c:v>
                </c:pt>
                <c:pt idx="13">
                  <c:v>Finance</c:v>
                </c:pt>
                <c:pt idx="14">
                  <c:v>Cement &amp; Cement Products</c:v>
                </c:pt>
                <c:pt idx="15">
                  <c:v>Personal Products</c:v>
                </c:pt>
                <c:pt idx="16">
                  <c:v>Construction</c:v>
                </c:pt>
              </c:strCache>
            </c:strRef>
          </c:cat>
          <c:val>
            <c:numRef>
              <c:f>'BANDHAN NIF100LV30'!$X$8:$X$24</c:f>
              <c:numCache>
                <c:formatCode>0.00%</c:formatCode>
                <c:ptCount val="17"/>
                <c:pt idx="0">
                  <c:v>0.131606</c:v>
                </c:pt>
                <c:pt idx="1">
                  <c:v>0.118376</c:v>
                </c:pt>
                <c:pt idx="2">
                  <c:v>0.106155</c:v>
                </c:pt>
                <c:pt idx="3">
                  <c:v>9.6731999999999985E-2</c:v>
                </c:pt>
                <c:pt idx="4">
                  <c:v>7.9838999999999993E-2</c:v>
                </c:pt>
                <c:pt idx="5">
                  <c:v>7.6468999999999995E-2</c:v>
                </c:pt>
                <c:pt idx="6">
                  <c:v>6.8994E-2</c:v>
                </c:pt>
                <c:pt idx="7">
                  <c:v>3.7484000000000003E-2</c:v>
                </c:pt>
                <c:pt idx="8">
                  <c:v>3.5969000000000001E-2</c:v>
                </c:pt>
                <c:pt idx="9">
                  <c:v>3.4032E-2</c:v>
                </c:pt>
                <c:pt idx="10">
                  <c:v>3.3730000000000003E-2</c:v>
                </c:pt>
                <c:pt idx="11">
                  <c:v>3.2938000000000002E-2</c:v>
                </c:pt>
                <c:pt idx="12">
                  <c:v>3.1675000000000002E-2</c:v>
                </c:pt>
                <c:pt idx="13">
                  <c:v>3.1192000000000001E-2</c:v>
                </c:pt>
                <c:pt idx="14">
                  <c:v>2.9173000000000001E-2</c:v>
                </c:pt>
                <c:pt idx="15">
                  <c:v>2.7292E-2</c:v>
                </c:pt>
                <c:pt idx="16">
                  <c:v>2.7088000000000001E-2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c:f>
              <c:strCache>
                <c:ptCount val="1"/>
                <c:pt idx="0">
                  <c:v>IT - Software</c:v>
                </c:pt>
              </c:strCache>
            </c:strRef>
          </c:cat>
          <c:val>
            <c:numRef>
              <c:f>'BANDHAN NIFTY IT INDEX'!$X$8</c:f>
              <c:numCache>
                <c:formatCode>0.00%</c:formatCode>
                <c:ptCount val="1"/>
                <c:pt idx="0">
                  <c:v>0.99657600000000002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Index'!$W$8:$W$31</c:f>
              <c:strCache>
                <c:ptCount val="24"/>
                <c:pt idx="0">
                  <c:v>Consumer Durables</c:v>
                </c:pt>
                <c:pt idx="1">
                  <c:v>Capital Markets</c:v>
                </c:pt>
                <c:pt idx="2">
                  <c:v>Industrial Manufacturing</c:v>
                </c:pt>
                <c:pt idx="3">
                  <c:v>Electrical Equipment</c:v>
                </c:pt>
                <c:pt idx="4">
                  <c:v>Pharmaceuticals &amp; Biotechnology</c:v>
                </c:pt>
                <c:pt idx="5">
                  <c:v>Financial Technology (Fintech)</c:v>
                </c:pt>
                <c:pt idx="6">
                  <c:v>Retailing</c:v>
                </c:pt>
                <c:pt idx="7">
                  <c:v>Finance</c:v>
                </c:pt>
                <c:pt idx="8">
                  <c:v>Telecom - Services</c:v>
                </c:pt>
                <c:pt idx="9">
                  <c:v>Power</c:v>
                </c:pt>
                <c:pt idx="10">
                  <c:v>Commercial Services &amp; Supplies</c:v>
                </c:pt>
                <c:pt idx="11">
                  <c:v>Gas</c:v>
                </c:pt>
                <c:pt idx="12">
                  <c:v>Aerospace &amp; Defense</c:v>
                </c:pt>
                <c:pt idx="13">
                  <c:v>Healthcare Services</c:v>
                </c:pt>
                <c:pt idx="14">
                  <c:v>Diversified Metals</c:v>
                </c:pt>
                <c:pt idx="15">
                  <c:v>Transport Services</c:v>
                </c:pt>
                <c:pt idx="16">
                  <c:v>Construction</c:v>
                </c:pt>
                <c:pt idx="17">
                  <c:v>Automobiles</c:v>
                </c:pt>
                <c:pt idx="18">
                  <c:v>Fertilizers &amp; Agrochemicals</c:v>
                </c:pt>
                <c:pt idx="19">
                  <c:v>Leisure Services</c:v>
                </c:pt>
                <c:pt idx="20">
                  <c:v>Non - Ferrous Metals</c:v>
                </c:pt>
                <c:pt idx="21">
                  <c:v>Chemicals &amp; Petrochemicals</c:v>
                </c:pt>
                <c:pt idx="22">
                  <c:v>Realty</c:v>
                </c:pt>
                <c:pt idx="23">
                  <c:v>IT - Software</c:v>
                </c:pt>
              </c:strCache>
            </c:strRef>
          </c:cat>
          <c:val>
            <c:numRef>
              <c:f>'Bandhan Nifty Alpha 50 Index'!$X$8:$X$31</c:f>
              <c:numCache>
                <c:formatCode>0.00%</c:formatCode>
                <c:ptCount val="24"/>
                <c:pt idx="0">
                  <c:v>0.166853</c:v>
                </c:pt>
                <c:pt idx="1">
                  <c:v>0.13472999999999999</c:v>
                </c:pt>
                <c:pt idx="2">
                  <c:v>0.10423299999999999</c:v>
                </c:pt>
                <c:pt idx="3">
                  <c:v>8.9546000000000001E-2</c:v>
                </c:pt>
                <c:pt idx="4">
                  <c:v>6.648599999999999E-2</c:v>
                </c:pt>
                <c:pt idx="5">
                  <c:v>4.7657999999999999E-2</c:v>
                </c:pt>
                <c:pt idx="6">
                  <c:v>4.5536E-2</c:v>
                </c:pt>
                <c:pt idx="7">
                  <c:v>4.2133999999999998E-2</c:v>
                </c:pt>
                <c:pt idx="8">
                  <c:v>3.4976E-2</c:v>
                </c:pt>
                <c:pt idx="9">
                  <c:v>3.4058999999999999E-2</c:v>
                </c:pt>
                <c:pt idx="10">
                  <c:v>3.1493E-2</c:v>
                </c:pt>
                <c:pt idx="11">
                  <c:v>2.8750000000000001E-2</c:v>
                </c:pt>
                <c:pt idx="12">
                  <c:v>2.3909E-2</c:v>
                </c:pt>
                <c:pt idx="13">
                  <c:v>2.2379E-2</c:v>
                </c:pt>
                <c:pt idx="14">
                  <c:v>2.0080000000000001E-2</c:v>
                </c:pt>
                <c:pt idx="15">
                  <c:v>1.9380999999999999E-2</c:v>
                </c:pt>
                <c:pt idx="16">
                  <c:v>1.9272999999999998E-2</c:v>
                </c:pt>
                <c:pt idx="17">
                  <c:v>1.7403999999999999E-2</c:v>
                </c:pt>
                <c:pt idx="18">
                  <c:v>1.5173000000000001E-2</c:v>
                </c:pt>
                <c:pt idx="19">
                  <c:v>1.4678E-2</c:v>
                </c:pt>
                <c:pt idx="20">
                  <c:v>8.8610000000000008E-3</c:v>
                </c:pt>
                <c:pt idx="21">
                  <c:v>5.8430000000000001E-3</c:v>
                </c:pt>
                <c:pt idx="22">
                  <c:v>5.3359999999999996E-3</c:v>
                </c:pt>
                <c:pt idx="23">
                  <c:v>6.9999999999999999E-4</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'!$W$8:$W$52</c:f>
              <c:strCache>
                <c:ptCount val="45"/>
                <c:pt idx="0">
                  <c:v>Finance</c:v>
                </c:pt>
                <c:pt idx="1">
                  <c:v>Pharmaceuticals &amp; Biotechnology</c:v>
                </c:pt>
                <c:pt idx="2">
                  <c:v>Capital Markets</c:v>
                </c:pt>
                <c:pt idx="3">
                  <c:v>Industrial Products</c:v>
                </c:pt>
                <c:pt idx="4">
                  <c:v>Chemicals &amp; Petrochemicals</c:v>
                </c:pt>
                <c:pt idx="5">
                  <c:v>Consumer Durables</c:v>
                </c:pt>
                <c:pt idx="6">
                  <c:v>Construction</c:v>
                </c:pt>
                <c:pt idx="7">
                  <c:v>Auto Components</c:v>
                </c:pt>
                <c:pt idx="8">
                  <c:v>Healthcare Services</c:v>
                </c:pt>
                <c:pt idx="9">
                  <c:v>IT - Software</c:v>
                </c:pt>
                <c:pt idx="10">
                  <c:v>Banks</c:v>
                </c:pt>
                <c:pt idx="11">
                  <c:v>Leisure Services</c:v>
                </c:pt>
                <c:pt idx="12">
                  <c:v>Industrial Manufacturing</c:v>
                </c:pt>
                <c:pt idx="13">
                  <c:v>Power</c:v>
                </c:pt>
                <c:pt idx="14">
                  <c:v>Realty</c:v>
                </c:pt>
                <c:pt idx="15">
                  <c:v>Commercial Services &amp; Supplies</c:v>
                </c:pt>
                <c:pt idx="16">
                  <c:v>Electrical Equipment</c:v>
                </c:pt>
                <c:pt idx="17">
                  <c:v>Transport Services</c:v>
                </c:pt>
                <c:pt idx="18">
                  <c:v>IT - Services</c:v>
                </c:pt>
                <c:pt idx="19">
                  <c:v>Fertilizers &amp; Agrochemicals</c:v>
                </c:pt>
                <c:pt idx="20">
                  <c:v>Gas</c:v>
                </c:pt>
                <c:pt idx="21">
                  <c:v>Aerospace &amp; Defense</c:v>
                </c:pt>
                <c:pt idx="22">
                  <c:v>Entertainment</c:v>
                </c:pt>
                <c:pt idx="23">
                  <c:v>Agricultural Food &amp; other Products</c:v>
                </c:pt>
                <c:pt idx="24">
                  <c:v>Food Products</c:v>
                </c:pt>
                <c:pt idx="25">
                  <c:v>Retailing</c:v>
                </c:pt>
                <c:pt idx="26">
                  <c:v>Beverages</c:v>
                </c:pt>
                <c:pt idx="27">
                  <c:v>Textiles &amp; Apparels</c:v>
                </c:pt>
                <c:pt idx="28">
                  <c:v>Telecom - Services</c:v>
                </c:pt>
                <c:pt idx="29">
                  <c:v>Cement &amp; Cement Products</c:v>
                </c:pt>
                <c:pt idx="30">
                  <c:v>Petroleum Products</c:v>
                </c:pt>
                <c:pt idx="31">
                  <c:v>Agricultural, Commercial &amp; Construction Vehicles</c:v>
                </c:pt>
                <c:pt idx="32">
                  <c:v>Personal Products</c:v>
                </c:pt>
                <c:pt idx="33">
                  <c:v>Cigarettes &amp; Tobacco Products</c:v>
                </c:pt>
                <c:pt idx="34">
                  <c:v>Paper, Forest &amp; Jute Products</c:v>
                </c:pt>
                <c:pt idx="35">
                  <c:v>Insurance</c:v>
                </c:pt>
                <c:pt idx="36">
                  <c:v>Household Products</c:v>
                </c:pt>
                <c:pt idx="37">
                  <c:v>Telecom - Equipment &amp; Accessories</c:v>
                </c:pt>
                <c:pt idx="38">
                  <c:v>Healthcare Equipment &amp; Supplies</c:v>
                </c:pt>
                <c:pt idx="39">
                  <c:v>Ferrous Metals</c:v>
                </c:pt>
                <c:pt idx="40">
                  <c:v>Minerals &amp; Mining</c:v>
                </c:pt>
                <c:pt idx="41">
                  <c:v>Non - Ferrous Metals</c:v>
                </c:pt>
                <c:pt idx="42">
                  <c:v>Diversified</c:v>
                </c:pt>
                <c:pt idx="43">
                  <c:v>Automobiles</c:v>
                </c:pt>
                <c:pt idx="44">
                  <c:v>Transport Infrastructure</c:v>
                </c:pt>
              </c:strCache>
            </c:strRef>
          </c:cat>
          <c:val>
            <c:numRef>
              <c:f>'Bandhan Nifty Smallcap 250 '!$X$8:$X$52</c:f>
              <c:numCache>
                <c:formatCode>0.00%</c:formatCode>
                <c:ptCount val="45"/>
                <c:pt idx="0">
                  <c:v>9.8186000000000023E-2</c:v>
                </c:pt>
                <c:pt idx="1">
                  <c:v>8.2569999999999977E-2</c:v>
                </c:pt>
                <c:pt idx="2">
                  <c:v>8.0498999999999973E-2</c:v>
                </c:pt>
                <c:pt idx="3">
                  <c:v>7.3982999999999993E-2</c:v>
                </c:pt>
                <c:pt idx="4">
                  <c:v>5.5467000000000009E-2</c:v>
                </c:pt>
                <c:pt idx="5">
                  <c:v>4.9456999999999994E-2</c:v>
                </c:pt>
                <c:pt idx="6">
                  <c:v>4.3820999999999999E-2</c:v>
                </c:pt>
                <c:pt idx="7">
                  <c:v>3.9223000000000008E-2</c:v>
                </c:pt>
                <c:pt idx="8">
                  <c:v>3.8424000000000007E-2</c:v>
                </c:pt>
                <c:pt idx="9">
                  <c:v>3.2308000000000003E-2</c:v>
                </c:pt>
                <c:pt idx="10">
                  <c:v>3.2106999999999997E-2</c:v>
                </c:pt>
                <c:pt idx="11">
                  <c:v>2.759E-2</c:v>
                </c:pt>
                <c:pt idx="12">
                  <c:v>2.5714999999999998E-2</c:v>
                </c:pt>
                <c:pt idx="13">
                  <c:v>2.2658000000000001E-2</c:v>
                </c:pt>
                <c:pt idx="14">
                  <c:v>2.0704E-2</c:v>
                </c:pt>
                <c:pt idx="15">
                  <c:v>2.0053000000000001E-2</c:v>
                </c:pt>
                <c:pt idx="16">
                  <c:v>1.8681999999999997E-2</c:v>
                </c:pt>
                <c:pt idx="17">
                  <c:v>1.8336999999999999E-2</c:v>
                </c:pt>
                <c:pt idx="18">
                  <c:v>1.5921999999999999E-2</c:v>
                </c:pt>
                <c:pt idx="19">
                  <c:v>1.5455999999999999E-2</c:v>
                </c:pt>
                <c:pt idx="20">
                  <c:v>1.4974999999999999E-2</c:v>
                </c:pt>
                <c:pt idx="21">
                  <c:v>1.4166999999999999E-2</c:v>
                </c:pt>
                <c:pt idx="22">
                  <c:v>1.4043E-2</c:v>
                </c:pt>
                <c:pt idx="23">
                  <c:v>1.3372999999999999E-2</c:v>
                </c:pt>
                <c:pt idx="24">
                  <c:v>1.1193E-2</c:v>
                </c:pt>
                <c:pt idx="25">
                  <c:v>1.0806E-2</c:v>
                </c:pt>
                <c:pt idx="26">
                  <c:v>1.0397E-2</c:v>
                </c:pt>
                <c:pt idx="27">
                  <c:v>9.5849999999999998E-3</c:v>
                </c:pt>
                <c:pt idx="28">
                  <c:v>8.7999999999999988E-3</c:v>
                </c:pt>
                <c:pt idx="29">
                  <c:v>8.6029999999999995E-3</c:v>
                </c:pt>
                <c:pt idx="30">
                  <c:v>7.2059999999999997E-3</c:v>
                </c:pt>
                <c:pt idx="31">
                  <c:v>6.9490000000000003E-3</c:v>
                </c:pt>
                <c:pt idx="32">
                  <c:v>6.3020000000000003E-3</c:v>
                </c:pt>
                <c:pt idx="33">
                  <c:v>6.2030000000000002E-3</c:v>
                </c:pt>
                <c:pt idx="34">
                  <c:v>5.9839999999999997E-3</c:v>
                </c:pt>
                <c:pt idx="35">
                  <c:v>5.5980000000000005E-3</c:v>
                </c:pt>
                <c:pt idx="36">
                  <c:v>4.7829999999999999E-3</c:v>
                </c:pt>
                <c:pt idx="37">
                  <c:v>4.7650000000000001E-3</c:v>
                </c:pt>
                <c:pt idx="38">
                  <c:v>4.529E-3</c:v>
                </c:pt>
                <c:pt idx="39">
                  <c:v>4.4150000000000005E-3</c:v>
                </c:pt>
                <c:pt idx="40">
                  <c:v>4.352E-3</c:v>
                </c:pt>
                <c:pt idx="41">
                  <c:v>4.2659999999999998E-3</c:v>
                </c:pt>
                <c:pt idx="42">
                  <c:v>2.787E-3</c:v>
                </c:pt>
                <c:pt idx="43">
                  <c:v>2.643E-3</c:v>
                </c:pt>
                <c:pt idx="44">
                  <c:v>2.225E-3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Total Market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A-45F0-9987-5A73CFFAB81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5A-45F0-9987-5A73CFFAB81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5A-45F0-9987-5A73CFFAB81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5A-45F0-9987-5A73CFFAB81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5A-45F0-9987-5A73CFFAB81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5A-45F0-9987-5A73CFFAB81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5A-45F0-9987-5A73CFFAB81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5A-45F0-9987-5A73CFFAB81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5A-45F0-9987-5A73CFFAB81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5A-45F0-9987-5A73CFFAB81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5A-45F0-9987-5A73CFFAB81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5A-45F0-9987-5A73CFFAB81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5A-45F0-9987-5A73CFFAB81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5A-45F0-9987-5A73CFFAB81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5A-45F0-9987-5A73CFFAB81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5A-45F0-9987-5A73CFFAB81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25A-45F0-9987-5A73CFFAB81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5A-45F0-9987-5A73CFFAB81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Total Market '!$W$8:$W$59</c:f>
              <c:strCache>
                <c:ptCount val="52"/>
                <c:pt idx="0">
                  <c:v>Banks</c:v>
                </c:pt>
                <c:pt idx="1">
                  <c:v>IT - Software</c:v>
                </c:pt>
                <c:pt idx="2">
                  <c:v>Finance</c:v>
                </c:pt>
                <c:pt idx="3">
                  <c:v>Petroleum Products</c:v>
                </c:pt>
                <c:pt idx="4">
                  <c:v>Pharmaceuticals &amp; Biotechnology</c:v>
                </c:pt>
                <c:pt idx="5">
                  <c:v>Automobiles</c:v>
                </c:pt>
                <c:pt idx="6">
                  <c:v>Power</c:v>
                </c:pt>
                <c:pt idx="7">
                  <c:v>Telecom - Services</c:v>
                </c:pt>
                <c:pt idx="8">
                  <c:v>Diversified FMCG</c:v>
                </c:pt>
                <c:pt idx="9">
                  <c:v>Construction</c:v>
                </c:pt>
                <c:pt idx="10">
                  <c:v>Consumer Durables</c:v>
                </c:pt>
                <c:pt idx="11">
                  <c:v>Retailing</c:v>
                </c:pt>
                <c:pt idx="12">
                  <c:v>Auto Components</c:v>
                </c:pt>
                <c:pt idx="13">
                  <c:v>Industrial Products</c:v>
                </c:pt>
                <c:pt idx="14">
                  <c:v>Electrical Equipment</c:v>
                </c:pt>
                <c:pt idx="15">
                  <c:v>Cement &amp; Cement Products</c:v>
                </c:pt>
                <c:pt idx="16">
                  <c:v>Capital Markets</c:v>
                </c:pt>
                <c:pt idx="17">
                  <c:v>Insurance</c:v>
                </c:pt>
                <c:pt idx="18">
                  <c:v>Chemicals &amp; Petrochemicals</c:v>
                </c:pt>
                <c:pt idx="19">
                  <c:v>Ferrous Metals</c:v>
                </c:pt>
                <c:pt idx="20">
                  <c:v>Aerospace &amp; Defense</c:v>
                </c:pt>
                <c:pt idx="21">
                  <c:v>Healthcare Services</c:v>
                </c:pt>
                <c:pt idx="22">
                  <c:v>Realty</c:v>
                </c:pt>
                <c:pt idx="23">
                  <c:v>Food Products</c:v>
                </c:pt>
                <c:pt idx="24">
                  <c:v>Leisure Services</c:v>
                </c:pt>
                <c:pt idx="25">
                  <c:v>Agricultural Food &amp; other Products</c:v>
                </c:pt>
                <c:pt idx="26">
                  <c:v>Transport Services</c:v>
                </c:pt>
                <c:pt idx="27">
                  <c:v>Beverages</c:v>
                </c:pt>
                <c:pt idx="28">
                  <c:v>Transport Infrastructure</c:v>
                </c:pt>
                <c:pt idx="29">
                  <c:v>Gas</c:v>
                </c:pt>
                <c:pt idx="30">
                  <c:v>Personal Products</c:v>
                </c:pt>
                <c:pt idx="31">
                  <c:v>Fertilizers &amp; Agrochemicals</c:v>
                </c:pt>
                <c:pt idx="32">
                  <c:v>Non - Ferrous Metals</c:v>
                </c:pt>
                <c:pt idx="33">
                  <c:v>Industrial Manufacturing</c:v>
                </c:pt>
                <c:pt idx="34">
                  <c:v>Oil</c:v>
                </c:pt>
                <c:pt idx="35">
                  <c:v>Financial Technology (Fintech)</c:v>
                </c:pt>
                <c:pt idx="36">
                  <c:v>Consumable Fuels</c:v>
                </c:pt>
                <c:pt idx="37">
                  <c:v>Textiles &amp; Apparels</c:v>
                </c:pt>
                <c:pt idx="38">
                  <c:v>Diversified Metals</c:v>
                </c:pt>
                <c:pt idx="39">
                  <c:v>Metals &amp; Minerals Trading</c:v>
                </c:pt>
                <c:pt idx="40">
                  <c:v>IT - Services</c:v>
                </c:pt>
                <c:pt idx="41">
                  <c:v>Agricultural, Commercial &amp; Construction Vehicles</c:v>
                </c:pt>
                <c:pt idx="42">
                  <c:v>Commercial Services &amp; Supplies</c:v>
                </c:pt>
                <c:pt idx="43">
                  <c:v>Minerals &amp; Mining</c:v>
                </c:pt>
                <c:pt idx="44">
                  <c:v>Entertainment</c:v>
                </c:pt>
                <c:pt idx="45">
                  <c:v>Diversified</c:v>
                </c:pt>
                <c:pt idx="46">
                  <c:v>Paper, Forest &amp; Jute Products</c:v>
                </c:pt>
                <c:pt idx="47">
                  <c:v>Cigarettes &amp; Tobacco Products</c:v>
                </c:pt>
                <c:pt idx="48">
                  <c:v>Other Utilities</c:v>
                </c:pt>
                <c:pt idx="49">
                  <c:v>Telecom - Equipment &amp; Accessories</c:v>
                </c:pt>
                <c:pt idx="50">
                  <c:v>Household Products</c:v>
                </c:pt>
                <c:pt idx="51">
                  <c:v>Healthcare Equipment &amp; Supplies</c:v>
                </c:pt>
              </c:strCache>
            </c:strRef>
          </c:cat>
          <c:val>
            <c:numRef>
              <c:f>'Bandhan Nifty Total Market '!$X$8:$X$59</c:f>
              <c:numCache>
                <c:formatCode>0.00%</c:formatCode>
                <c:ptCount val="52"/>
                <c:pt idx="0">
                  <c:v>0.20286800000000002</c:v>
                </c:pt>
                <c:pt idx="1">
                  <c:v>8.0572000000000005E-2</c:v>
                </c:pt>
                <c:pt idx="2">
                  <c:v>6.2151999999999999E-2</c:v>
                </c:pt>
                <c:pt idx="3">
                  <c:v>5.7668999999999998E-2</c:v>
                </c:pt>
                <c:pt idx="4">
                  <c:v>4.7592000000000009E-2</c:v>
                </c:pt>
                <c:pt idx="5">
                  <c:v>4.5916000000000005E-2</c:v>
                </c:pt>
                <c:pt idx="6">
                  <c:v>3.2224000000000003E-2</c:v>
                </c:pt>
                <c:pt idx="7">
                  <c:v>3.1434999999999998E-2</c:v>
                </c:pt>
                <c:pt idx="8">
                  <c:v>3.0359999999999998E-2</c:v>
                </c:pt>
                <c:pt idx="9">
                  <c:v>3.0018E-2</c:v>
                </c:pt>
                <c:pt idx="10">
                  <c:v>2.9276E-2</c:v>
                </c:pt>
                <c:pt idx="11">
                  <c:v>2.6251000000000003E-2</c:v>
                </c:pt>
                <c:pt idx="12">
                  <c:v>2.0698000000000005E-2</c:v>
                </c:pt>
                <c:pt idx="13">
                  <c:v>2.042900000000001E-2</c:v>
                </c:pt>
                <c:pt idx="14">
                  <c:v>2.0308E-2</c:v>
                </c:pt>
                <c:pt idx="15">
                  <c:v>2.0009000000000002E-2</c:v>
                </c:pt>
                <c:pt idx="16">
                  <c:v>1.8367000000000001E-2</c:v>
                </c:pt>
                <c:pt idx="17">
                  <c:v>1.6952999999999996E-2</c:v>
                </c:pt>
                <c:pt idx="18">
                  <c:v>1.6348999999999999E-2</c:v>
                </c:pt>
                <c:pt idx="19">
                  <c:v>1.6021999999999998E-2</c:v>
                </c:pt>
                <c:pt idx="20">
                  <c:v>1.5189999999999999E-2</c:v>
                </c:pt>
                <c:pt idx="21">
                  <c:v>1.469E-2</c:v>
                </c:pt>
                <c:pt idx="22">
                  <c:v>1.3127999999999997E-2</c:v>
                </c:pt>
                <c:pt idx="23">
                  <c:v>9.5770000000000004E-3</c:v>
                </c:pt>
                <c:pt idx="24">
                  <c:v>9.4850000000000021E-3</c:v>
                </c:pt>
                <c:pt idx="25">
                  <c:v>8.7540000000000014E-3</c:v>
                </c:pt>
                <c:pt idx="26">
                  <c:v>8.515E-3</c:v>
                </c:pt>
                <c:pt idx="27">
                  <c:v>7.7730000000000004E-3</c:v>
                </c:pt>
                <c:pt idx="28">
                  <c:v>7.5209999999999999E-3</c:v>
                </c:pt>
                <c:pt idx="29">
                  <c:v>7.3219999999999995E-3</c:v>
                </c:pt>
                <c:pt idx="30">
                  <c:v>7.293E-3</c:v>
                </c:pt>
                <c:pt idx="31">
                  <c:v>6.8900000000000003E-3</c:v>
                </c:pt>
                <c:pt idx="32">
                  <c:v>6.7459999999999994E-3</c:v>
                </c:pt>
                <c:pt idx="33">
                  <c:v>6.3359999999999988E-3</c:v>
                </c:pt>
                <c:pt idx="34">
                  <c:v>5.9059999999999998E-3</c:v>
                </c:pt>
                <c:pt idx="35">
                  <c:v>4.6759999999999996E-3</c:v>
                </c:pt>
                <c:pt idx="36">
                  <c:v>4.5840000000000004E-3</c:v>
                </c:pt>
                <c:pt idx="37">
                  <c:v>4.3430000000000005E-3</c:v>
                </c:pt>
                <c:pt idx="38">
                  <c:v>3.7550000000000001E-3</c:v>
                </c:pt>
                <c:pt idx="39">
                  <c:v>3.437E-3</c:v>
                </c:pt>
                <c:pt idx="40">
                  <c:v>3.1840000000000002E-3</c:v>
                </c:pt>
                <c:pt idx="41">
                  <c:v>2.9450000000000001E-3</c:v>
                </c:pt>
                <c:pt idx="42">
                  <c:v>2.8050000000000002E-3</c:v>
                </c:pt>
                <c:pt idx="43">
                  <c:v>2.7440000000000003E-3</c:v>
                </c:pt>
                <c:pt idx="44">
                  <c:v>2.137E-3</c:v>
                </c:pt>
                <c:pt idx="45">
                  <c:v>1.0809999999999999E-3</c:v>
                </c:pt>
                <c:pt idx="46">
                  <c:v>7.2100000000000007E-4</c:v>
                </c:pt>
                <c:pt idx="47">
                  <c:v>6.9799999999999994E-4</c:v>
                </c:pt>
                <c:pt idx="48">
                  <c:v>6.5600000000000001E-4</c:v>
                </c:pt>
                <c:pt idx="49">
                  <c:v>6.2600000000000004E-4</c:v>
                </c:pt>
                <c:pt idx="50">
                  <c:v>4.6500000000000003E-4</c:v>
                </c:pt>
                <c:pt idx="51">
                  <c:v>4.4000000000000002E-4</c:v>
                </c:pt>
              </c:numCache>
            </c:numRef>
          </c:val>
          <c:extLst>
            <c:ext xmlns:c16="http://schemas.microsoft.com/office/drawing/2014/chart" uri="{C3380CC4-5D6E-409C-BE32-E72D297353CC}">
              <c16:uniqueId val="{00000012-E25A-45F0-9987-5A73CFFAB81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Bank Index Fund'!$X$7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C-4E25-A21A-3873B296CF1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3C-4E25-A21A-3873B296CF1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3C-4E25-A21A-3873B296CF1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3C-4E25-A21A-3873B296CF1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3C-4E25-A21A-3873B296CF1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3C-4E25-A21A-3873B296CF1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3C-4E25-A21A-3873B296CF1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3C-4E25-A21A-3873B296CF1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3C-4E25-A21A-3873B296CF1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3C-4E25-A21A-3873B296CF1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3C-4E25-A21A-3873B296CF1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3C-4E25-A21A-3873B296CF1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63C-4E25-A21A-3873B296CF1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63C-4E25-A21A-3873B296CF1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63C-4E25-A21A-3873B296CF1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63C-4E25-A21A-3873B296CF1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63C-4E25-A21A-3873B296CF1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63C-4E25-A21A-3873B296CF1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Bank Index Fund'!$W$8</c:f>
              <c:strCache>
                <c:ptCount val="1"/>
                <c:pt idx="0">
                  <c:v>Banks</c:v>
                </c:pt>
              </c:strCache>
            </c:strRef>
          </c:cat>
          <c:val>
            <c:numRef>
              <c:f>'Bandhan Nifty Bank Index Fund'!$X$8</c:f>
              <c:numCache>
                <c:formatCode>0.00%</c:formatCode>
                <c:ptCount val="1"/>
                <c:pt idx="0">
                  <c:v>0.99939000000000022</c:v>
                </c:pt>
              </c:numCache>
            </c:numRef>
          </c:val>
          <c:extLst>
            <c:ext xmlns:c16="http://schemas.microsoft.com/office/drawing/2014/chart" uri="{C3380CC4-5D6E-409C-BE32-E72D297353CC}">
              <c16:uniqueId val="{00000012-C63C-4E25-A21A-3873B296CF17}"/>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BSE Healthcare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A8-47BC-A69B-C0F4619C44B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A8-47BC-A69B-C0F4619C44B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A8-47BC-A69B-C0F4619C44B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A8-47BC-A69B-C0F4619C44B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A8-47BC-A69B-C0F4619C44B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A8-47BC-A69B-C0F4619C44B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A8-47BC-A69B-C0F4619C44B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A8-47BC-A69B-C0F4619C44B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A8-47BC-A69B-C0F4619C44B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6A8-47BC-A69B-C0F4619C44B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6A8-47BC-A69B-C0F4619C44B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6A8-47BC-A69B-C0F4619C44B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6A8-47BC-A69B-C0F4619C44B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6A8-47BC-A69B-C0F4619C44B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6A8-47BC-A69B-C0F4619C44B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6A8-47BC-A69B-C0F4619C44B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6A8-47BC-A69B-C0F4619C44B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6A8-47BC-A69B-C0F4619C44B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Healthcare Index '!$W$8:$W$10</c:f>
              <c:strCache>
                <c:ptCount val="3"/>
                <c:pt idx="0">
                  <c:v>Pharmaceuticals &amp; Biotechnology</c:v>
                </c:pt>
                <c:pt idx="1">
                  <c:v>Healthcare Services</c:v>
                </c:pt>
                <c:pt idx="2">
                  <c:v>Healthcare Equipment &amp; Supplies</c:v>
                </c:pt>
              </c:strCache>
            </c:strRef>
          </c:cat>
          <c:val>
            <c:numRef>
              <c:f>'Bandhan BSE Healthcare Index '!$X$8:$X$10</c:f>
              <c:numCache>
                <c:formatCode>0.00%</c:formatCode>
                <c:ptCount val="3"/>
                <c:pt idx="0">
                  <c:v>0.75404599999999977</c:v>
                </c:pt>
                <c:pt idx="1">
                  <c:v>0.23969800000000002</c:v>
                </c:pt>
                <c:pt idx="2">
                  <c:v>7.28E-3</c:v>
                </c:pt>
              </c:numCache>
            </c:numRef>
          </c:val>
          <c:extLst>
            <c:ext xmlns:c16="http://schemas.microsoft.com/office/drawing/2014/chart" uri="{C3380CC4-5D6E-409C-BE32-E72D297353CC}">
              <c16:uniqueId val="{00000012-A6A8-47BC-A69B-C0F4619C44B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Midcap 150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95-46E5-9AD9-0345AC1685A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95-46E5-9AD9-0345AC1685A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95-46E5-9AD9-0345AC1685A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95-46E5-9AD9-0345AC1685A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95-46E5-9AD9-0345AC1685A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95-46E5-9AD9-0345AC1685A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95-46E5-9AD9-0345AC1685A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95-46E5-9AD9-0345AC1685A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95-46E5-9AD9-0345AC1685A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95-46E5-9AD9-0345AC1685A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695-46E5-9AD9-0345AC1685A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95-46E5-9AD9-0345AC1685A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695-46E5-9AD9-0345AC1685A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695-46E5-9AD9-0345AC1685A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695-46E5-9AD9-0345AC1685A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95-46E5-9AD9-0345AC1685A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695-46E5-9AD9-0345AC1685A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695-46E5-9AD9-0345AC1685A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Midcap 150 Index '!$W$8:$W$46</c:f>
              <c:strCache>
                <c:ptCount val="39"/>
                <c:pt idx="0">
                  <c:v>Banks</c:v>
                </c:pt>
                <c:pt idx="1">
                  <c:v>Pharmaceuticals &amp; Biotechnology</c:v>
                </c:pt>
                <c:pt idx="2">
                  <c:v>Auto Components</c:v>
                </c:pt>
                <c:pt idx="3">
                  <c:v>Electrical Equipment</c:v>
                </c:pt>
                <c:pt idx="4">
                  <c:v>IT - Software</c:v>
                </c:pt>
                <c:pt idx="5">
                  <c:v>Capital Markets</c:v>
                </c:pt>
                <c:pt idx="6">
                  <c:v>Finance</c:v>
                </c:pt>
                <c:pt idx="7">
                  <c:v>Industrial Products</c:v>
                </c:pt>
                <c:pt idx="8">
                  <c:v>Consumer Durables</c:v>
                </c:pt>
                <c:pt idx="9">
                  <c:v>Healthcare Services</c:v>
                </c:pt>
                <c:pt idx="10">
                  <c:v>Chemicals &amp; Petrochemicals</c:v>
                </c:pt>
                <c:pt idx="11">
                  <c:v>Realty</c:v>
                </c:pt>
                <c:pt idx="12">
                  <c:v>Telecom - Services</c:v>
                </c:pt>
                <c:pt idx="13">
                  <c:v>Fertilizers &amp; Agrochemicals</c:v>
                </c:pt>
                <c:pt idx="14">
                  <c:v>Financial Technology (Fintech)</c:v>
                </c:pt>
                <c:pt idx="15">
                  <c:v>Power</c:v>
                </c:pt>
                <c:pt idx="16">
                  <c:v>Insurance</c:v>
                </c:pt>
                <c:pt idx="17">
                  <c:v>Agricultural Food &amp; other Products</c:v>
                </c:pt>
                <c:pt idx="18">
                  <c:v>Gas</c:v>
                </c:pt>
                <c:pt idx="19">
                  <c:v>Cement &amp; Cement Products</c:v>
                </c:pt>
                <c:pt idx="20">
                  <c:v>Retailing</c:v>
                </c:pt>
                <c:pt idx="21">
                  <c:v>Leisure Services</c:v>
                </c:pt>
                <c:pt idx="22">
                  <c:v>Industrial Manufacturing</c:v>
                </c:pt>
                <c:pt idx="23">
                  <c:v>Agricultural, Commercial &amp; Construction Vehicles</c:v>
                </c:pt>
                <c:pt idx="24">
                  <c:v>Personal Products</c:v>
                </c:pt>
                <c:pt idx="25">
                  <c:v>Petroleum Products</c:v>
                </c:pt>
                <c:pt idx="26">
                  <c:v>Minerals &amp; Mining</c:v>
                </c:pt>
                <c:pt idx="27">
                  <c:v>Textiles &amp; Apparels</c:v>
                </c:pt>
                <c:pt idx="28">
                  <c:v>Ferrous Metals</c:v>
                </c:pt>
                <c:pt idx="29">
                  <c:v>Transport Infrastructure</c:v>
                </c:pt>
                <c:pt idx="30">
                  <c:v>Construction</c:v>
                </c:pt>
                <c:pt idx="31">
                  <c:v>Non - Ferrous Metals</c:v>
                </c:pt>
                <c:pt idx="32">
                  <c:v>IT - Services</c:v>
                </c:pt>
                <c:pt idx="33">
                  <c:v>Oil</c:v>
                </c:pt>
                <c:pt idx="34">
                  <c:v>Transport Services</c:v>
                </c:pt>
                <c:pt idx="35">
                  <c:v>Aerospace &amp; Defense</c:v>
                </c:pt>
                <c:pt idx="36">
                  <c:v>Diversified</c:v>
                </c:pt>
                <c:pt idx="37">
                  <c:v>Beverages</c:v>
                </c:pt>
                <c:pt idx="38">
                  <c:v>Entertainment</c:v>
                </c:pt>
              </c:strCache>
            </c:strRef>
          </c:cat>
          <c:val>
            <c:numRef>
              <c:f>'Bandhan Nifty Midcap 150 Index '!$X$8:$X$46</c:f>
              <c:numCache>
                <c:formatCode>0.00%</c:formatCode>
                <c:ptCount val="39"/>
                <c:pt idx="0">
                  <c:v>7.4151999999999996E-2</c:v>
                </c:pt>
                <c:pt idx="1">
                  <c:v>6.9884000000000016E-2</c:v>
                </c:pt>
                <c:pt idx="2">
                  <c:v>6.4579999999999999E-2</c:v>
                </c:pt>
                <c:pt idx="3">
                  <c:v>6.0834999999999993E-2</c:v>
                </c:pt>
                <c:pt idx="4">
                  <c:v>6.0248999999999997E-2</c:v>
                </c:pt>
                <c:pt idx="5">
                  <c:v>5.6868000000000002E-2</c:v>
                </c:pt>
                <c:pt idx="6">
                  <c:v>5.6503999999999999E-2</c:v>
                </c:pt>
                <c:pt idx="7">
                  <c:v>5.3988999999999995E-2</c:v>
                </c:pt>
                <c:pt idx="8">
                  <c:v>4.0984E-2</c:v>
                </c:pt>
                <c:pt idx="9">
                  <c:v>4.0861000000000001E-2</c:v>
                </c:pt>
                <c:pt idx="10">
                  <c:v>3.5804000000000002E-2</c:v>
                </c:pt>
                <c:pt idx="11">
                  <c:v>3.0905000000000002E-2</c:v>
                </c:pt>
                <c:pt idx="12">
                  <c:v>2.9617999999999998E-2</c:v>
                </c:pt>
                <c:pt idx="13">
                  <c:v>2.5734E-2</c:v>
                </c:pt>
                <c:pt idx="14">
                  <c:v>2.5396000000000002E-2</c:v>
                </c:pt>
                <c:pt idx="15">
                  <c:v>2.2031000000000002E-2</c:v>
                </c:pt>
                <c:pt idx="16">
                  <c:v>1.9133999999999998E-2</c:v>
                </c:pt>
                <c:pt idx="17">
                  <c:v>1.8745000000000001E-2</c:v>
                </c:pt>
                <c:pt idx="18">
                  <c:v>1.8467000000000001E-2</c:v>
                </c:pt>
                <c:pt idx="19">
                  <c:v>1.4846E-2</c:v>
                </c:pt>
                <c:pt idx="20">
                  <c:v>1.4050999999999999E-2</c:v>
                </c:pt>
                <c:pt idx="21">
                  <c:v>1.3690000000000001E-2</c:v>
                </c:pt>
                <c:pt idx="22">
                  <c:v>1.3304999999999999E-2</c:v>
                </c:pt>
                <c:pt idx="23">
                  <c:v>1.2843E-2</c:v>
                </c:pt>
                <c:pt idx="24">
                  <c:v>1.2575000000000001E-2</c:v>
                </c:pt>
                <c:pt idx="25">
                  <c:v>1.2055999999999999E-2</c:v>
                </c:pt>
                <c:pt idx="26">
                  <c:v>1.1903E-2</c:v>
                </c:pt>
                <c:pt idx="27">
                  <c:v>1.1599E-2</c:v>
                </c:pt>
                <c:pt idx="28">
                  <c:v>1.1344E-2</c:v>
                </c:pt>
                <c:pt idx="29">
                  <c:v>1.0909E-2</c:v>
                </c:pt>
                <c:pt idx="30">
                  <c:v>9.5149999999999992E-3</c:v>
                </c:pt>
                <c:pt idx="31">
                  <c:v>9.4510000000000011E-3</c:v>
                </c:pt>
                <c:pt idx="32">
                  <c:v>6.8640000000000003E-3</c:v>
                </c:pt>
                <c:pt idx="33">
                  <c:v>6.6730000000000001E-3</c:v>
                </c:pt>
                <c:pt idx="34">
                  <c:v>6.1989999999999996E-3</c:v>
                </c:pt>
                <c:pt idx="35">
                  <c:v>5.326E-3</c:v>
                </c:pt>
                <c:pt idx="36">
                  <c:v>4.45E-3</c:v>
                </c:pt>
                <c:pt idx="37">
                  <c:v>4.0920000000000002E-3</c:v>
                </c:pt>
                <c:pt idx="38">
                  <c:v>1.7819999999999999E-3</c:v>
                </c:pt>
              </c:numCache>
            </c:numRef>
          </c:val>
          <c:extLst>
            <c:ext xmlns:c16="http://schemas.microsoft.com/office/drawing/2014/chart" uri="{C3380CC4-5D6E-409C-BE32-E72D297353CC}">
              <c16:uniqueId val="{00000012-5695-46E5-9AD9-0345AC1685A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Value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32-4835-BF5C-389C17B41F5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32-4835-BF5C-389C17B41F5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32-4835-BF5C-389C17B41F5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32-4835-BF5C-389C17B41F5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32-4835-BF5C-389C17B41F5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32-4835-BF5C-389C17B41F5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32-4835-BF5C-389C17B41F5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32-4835-BF5C-389C17B41F5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32-4835-BF5C-389C17B41F5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32-4835-BF5C-389C17B41F5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32-4835-BF5C-389C17B41F5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C32-4835-BF5C-389C17B41F5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32-4835-BF5C-389C17B41F5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C32-4835-BF5C-389C17B41F5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C32-4835-BF5C-389C17B41F5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C32-4835-BF5C-389C17B41F5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C32-4835-BF5C-389C17B41F5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32-4835-BF5C-389C17B41F5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Value 50 '!$W$8:$W$26</c:f>
              <c:strCache>
                <c:ptCount val="19"/>
                <c:pt idx="0">
                  <c:v>Banks</c:v>
                </c:pt>
                <c:pt idx="1">
                  <c:v>Petroleum Products</c:v>
                </c:pt>
                <c:pt idx="2">
                  <c:v>Power</c:v>
                </c:pt>
                <c:pt idx="3">
                  <c:v>Ferrous Metals</c:v>
                </c:pt>
                <c:pt idx="4">
                  <c:v>Finance</c:v>
                </c:pt>
                <c:pt idx="5">
                  <c:v>Non - Ferrous Metals</c:v>
                </c:pt>
                <c:pt idx="6">
                  <c:v>Oil</c:v>
                </c:pt>
                <c:pt idx="7">
                  <c:v>Consumable Fuels</c:v>
                </c:pt>
                <c:pt idx="8">
                  <c:v>Cement &amp; Cement Products</c:v>
                </c:pt>
                <c:pt idx="9">
                  <c:v>Automobiles</c:v>
                </c:pt>
                <c:pt idx="10">
                  <c:v>Diversified Metals</c:v>
                </c:pt>
                <c:pt idx="11">
                  <c:v>Fertilizers &amp; Agrochemicals</c:v>
                </c:pt>
                <c:pt idx="12">
                  <c:v>Minerals &amp; Mining</c:v>
                </c:pt>
                <c:pt idx="13">
                  <c:v>Gas</c:v>
                </c:pt>
                <c:pt idx="14">
                  <c:v>Chemicals &amp; Petrochemicals</c:v>
                </c:pt>
                <c:pt idx="15">
                  <c:v>Transport Services</c:v>
                </c:pt>
                <c:pt idx="16">
                  <c:v>Food Products</c:v>
                </c:pt>
                <c:pt idx="17">
                  <c:v>Entertainment</c:v>
                </c:pt>
                <c:pt idx="18">
                  <c:v>Construction</c:v>
                </c:pt>
              </c:strCache>
            </c:strRef>
          </c:cat>
          <c:val>
            <c:numRef>
              <c:f>'Bandhan Nifty 500 Value 50 '!$X$8:$X$26</c:f>
              <c:numCache>
                <c:formatCode>0.00%</c:formatCode>
                <c:ptCount val="19"/>
                <c:pt idx="0">
                  <c:v>0.18482200000000001</c:v>
                </c:pt>
                <c:pt idx="1">
                  <c:v>0.12539600000000001</c:v>
                </c:pt>
                <c:pt idx="2">
                  <c:v>0.105</c:v>
                </c:pt>
                <c:pt idx="3">
                  <c:v>8.0920999999999993E-2</c:v>
                </c:pt>
                <c:pt idx="4">
                  <c:v>6.3438999999999995E-2</c:v>
                </c:pt>
                <c:pt idx="5">
                  <c:v>5.9583999999999998E-2</c:v>
                </c:pt>
                <c:pt idx="6">
                  <c:v>5.4514E-2</c:v>
                </c:pt>
                <c:pt idx="7">
                  <c:v>5.0873000000000002E-2</c:v>
                </c:pt>
                <c:pt idx="8">
                  <c:v>5.0774E-2</c:v>
                </c:pt>
                <c:pt idx="9">
                  <c:v>4.8080999999999999E-2</c:v>
                </c:pt>
                <c:pt idx="10">
                  <c:v>4.6823999999999998E-2</c:v>
                </c:pt>
                <c:pt idx="11">
                  <c:v>3.1838999999999999E-2</c:v>
                </c:pt>
                <c:pt idx="12">
                  <c:v>2.3324999999999999E-2</c:v>
                </c:pt>
                <c:pt idx="13">
                  <c:v>2.1494000000000003E-2</c:v>
                </c:pt>
                <c:pt idx="14">
                  <c:v>1.5033999999999999E-2</c:v>
                </c:pt>
                <c:pt idx="15">
                  <c:v>1.1533E-2</c:v>
                </c:pt>
                <c:pt idx="16">
                  <c:v>1.1291000000000001E-2</c:v>
                </c:pt>
                <c:pt idx="17">
                  <c:v>7.7210000000000004E-3</c:v>
                </c:pt>
                <c:pt idx="18">
                  <c:v>6.1019999999999998E-3</c:v>
                </c:pt>
              </c:numCache>
            </c:numRef>
          </c:val>
          <c:extLst>
            <c:ext xmlns:c16="http://schemas.microsoft.com/office/drawing/2014/chart" uri="{C3380CC4-5D6E-409C-BE32-E72D297353CC}">
              <c16:uniqueId val="{00000012-AC32-4835-BF5C-389C17B41F5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Momentum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35-44D9-A281-7C2BD7F9815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35-44D9-A281-7C2BD7F9815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35-44D9-A281-7C2BD7F9815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35-44D9-A281-7C2BD7F9815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35-44D9-A281-7C2BD7F9815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35-44D9-A281-7C2BD7F9815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35-44D9-A281-7C2BD7F9815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35-44D9-A281-7C2BD7F9815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35-44D9-A281-7C2BD7F9815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35-44D9-A281-7C2BD7F9815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35-44D9-A281-7C2BD7F9815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35-44D9-A281-7C2BD7F9815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35-44D9-A281-7C2BD7F9815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35-44D9-A281-7C2BD7F9815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35-44D9-A281-7C2BD7F9815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35-44D9-A281-7C2BD7F9815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35-44D9-A281-7C2BD7F9815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35-44D9-A281-7C2BD7F9815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Momentum 50 '!$W$8:$W$32</c:f>
              <c:strCache>
                <c:ptCount val="25"/>
                <c:pt idx="0">
                  <c:v>IT - Software</c:v>
                </c:pt>
                <c:pt idx="1">
                  <c:v>Pharmaceuticals &amp; Biotechnology</c:v>
                </c:pt>
                <c:pt idx="2">
                  <c:v>Retailing</c:v>
                </c:pt>
                <c:pt idx="3">
                  <c:v>Capital Markets</c:v>
                </c:pt>
                <c:pt idx="4">
                  <c:v>Consumer Durables</c:v>
                </c:pt>
                <c:pt idx="5">
                  <c:v>Automobiles</c:v>
                </c:pt>
                <c:pt idx="6">
                  <c:v>Leisure Services</c:v>
                </c:pt>
                <c:pt idx="7">
                  <c:v>Beverages</c:v>
                </c:pt>
                <c:pt idx="8">
                  <c:v>Financial Technology (Fintech)</c:v>
                </c:pt>
                <c:pt idx="9">
                  <c:v>Electrical Equipment</c:v>
                </c:pt>
                <c:pt idx="10">
                  <c:v>Healthcare Services</c:v>
                </c:pt>
                <c:pt idx="11">
                  <c:v>Industrial Manufacturing</c:v>
                </c:pt>
                <c:pt idx="12">
                  <c:v>Chemicals &amp; Petrochemicals</c:v>
                </c:pt>
                <c:pt idx="13">
                  <c:v>Fertilizers &amp; Agrochemicals</c:v>
                </c:pt>
                <c:pt idx="14">
                  <c:v>Oil</c:v>
                </c:pt>
                <c:pt idx="15">
                  <c:v>Minerals &amp; Mining</c:v>
                </c:pt>
                <c:pt idx="16">
                  <c:v>Finance</c:v>
                </c:pt>
                <c:pt idx="17">
                  <c:v>Commercial Services &amp; Supplies</c:v>
                </c:pt>
                <c:pt idx="18">
                  <c:v>Non - Ferrous Metals</c:v>
                </c:pt>
                <c:pt idx="19">
                  <c:v>Cigarettes &amp; Tobacco Products</c:v>
                </c:pt>
                <c:pt idx="20">
                  <c:v>Construction</c:v>
                </c:pt>
                <c:pt idx="21">
                  <c:v>Realty</c:v>
                </c:pt>
                <c:pt idx="22">
                  <c:v>Healthcare Equipment &amp; Supplies</c:v>
                </c:pt>
                <c:pt idx="23">
                  <c:v>Cement &amp; Cement Products</c:v>
                </c:pt>
                <c:pt idx="24">
                  <c:v>IT - Services</c:v>
                </c:pt>
              </c:strCache>
            </c:strRef>
          </c:cat>
          <c:val>
            <c:numRef>
              <c:f>'Bandhan Nifty 500 Momentum 50 '!$X$8:$X$32</c:f>
              <c:numCache>
                <c:formatCode>0.00%</c:formatCode>
                <c:ptCount val="25"/>
                <c:pt idx="0">
                  <c:v>0.15401300000000001</c:v>
                </c:pt>
                <c:pt idx="1">
                  <c:v>0.14144099999999998</c:v>
                </c:pt>
                <c:pt idx="2">
                  <c:v>0.12740500000000002</c:v>
                </c:pt>
                <c:pt idx="3">
                  <c:v>0.11445000000000001</c:v>
                </c:pt>
                <c:pt idx="4">
                  <c:v>8.8210000000000011E-2</c:v>
                </c:pt>
                <c:pt idx="5">
                  <c:v>5.3772E-2</c:v>
                </c:pt>
                <c:pt idx="6">
                  <c:v>4.5992999999999999E-2</c:v>
                </c:pt>
                <c:pt idx="7">
                  <c:v>3.8553000000000004E-2</c:v>
                </c:pt>
                <c:pt idx="8">
                  <c:v>3.8384000000000001E-2</c:v>
                </c:pt>
                <c:pt idx="9">
                  <c:v>3.5303000000000001E-2</c:v>
                </c:pt>
                <c:pt idx="10">
                  <c:v>2.2865E-2</c:v>
                </c:pt>
                <c:pt idx="11">
                  <c:v>2.1853999999999998E-2</c:v>
                </c:pt>
                <c:pt idx="12">
                  <c:v>2.0486000000000001E-2</c:v>
                </c:pt>
                <c:pt idx="13">
                  <c:v>1.5257E-2</c:v>
                </c:pt>
                <c:pt idx="14">
                  <c:v>1.1622E-2</c:v>
                </c:pt>
                <c:pt idx="15">
                  <c:v>1.1086E-2</c:v>
                </c:pt>
                <c:pt idx="16">
                  <c:v>1.0708000000000001E-2</c:v>
                </c:pt>
                <c:pt idx="17">
                  <c:v>9.3299999999999998E-3</c:v>
                </c:pt>
                <c:pt idx="18">
                  <c:v>9.2910000000000006E-3</c:v>
                </c:pt>
                <c:pt idx="19">
                  <c:v>7.3229999999999996E-3</c:v>
                </c:pt>
                <c:pt idx="20">
                  <c:v>6.1209999999999997E-3</c:v>
                </c:pt>
                <c:pt idx="21">
                  <c:v>6.051E-3</c:v>
                </c:pt>
                <c:pt idx="22">
                  <c:v>5.1000000000000004E-3</c:v>
                </c:pt>
                <c:pt idx="23">
                  <c:v>2.3509999999999998E-3</c:v>
                </c:pt>
                <c:pt idx="24">
                  <c:v>2.2230000000000001E-3</c:v>
                </c:pt>
              </c:numCache>
            </c:numRef>
          </c:val>
          <c:extLst>
            <c:ext xmlns:c16="http://schemas.microsoft.com/office/drawing/2014/chart" uri="{C3380CC4-5D6E-409C-BE32-E72D297353CC}">
              <c16:uniqueId val="{00000012-C435-44D9-A281-7C2BD7F9815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200 Quality 30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58-4E85-88A8-676766BB07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58-4E85-88A8-676766BB07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58-4E85-88A8-676766BB07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58-4E85-88A8-676766BB07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58-4E85-88A8-676766BB07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58-4E85-88A8-676766BB07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58-4E85-88A8-676766BB07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58-4E85-88A8-676766BB07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58-4E85-88A8-676766BB07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58-4E85-88A8-676766BB07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058-4E85-88A8-676766BB07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058-4E85-88A8-676766BB07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058-4E85-88A8-676766BB07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058-4E85-88A8-676766BB07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058-4E85-88A8-676766BB07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058-4E85-88A8-676766BB07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058-4E85-88A8-676766BB07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058-4E85-88A8-676766BB07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200 Quality 30 '!$W$8:$W$23</c:f>
              <c:strCache>
                <c:ptCount val="16"/>
                <c:pt idx="0">
                  <c:v>IT - Software</c:v>
                </c:pt>
                <c:pt idx="1">
                  <c:v>Food Products</c:v>
                </c:pt>
                <c:pt idx="2">
                  <c:v>Diversified FMCG</c:v>
                </c:pt>
                <c:pt idx="3">
                  <c:v>Aerospace &amp; Defense</c:v>
                </c:pt>
                <c:pt idx="4">
                  <c:v>Automobiles</c:v>
                </c:pt>
                <c:pt idx="5">
                  <c:v>Consumer Durables</c:v>
                </c:pt>
                <c:pt idx="6">
                  <c:v>Personal Products</c:v>
                </c:pt>
                <c:pt idx="7">
                  <c:v>Consumable Fuels</c:v>
                </c:pt>
                <c:pt idx="8">
                  <c:v>Industrial Products</c:v>
                </c:pt>
                <c:pt idx="9">
                  <c:v>Petroleum Products</c:v>
                </c:pt>
                <c:pt idx="10">
                  <c:v>Capital Markets</c:v>
                </c:pt>
                <c:pt idx="11">
                  <c:v>Agricultural Food &amp; other Products</c:v>
                </c:pt>
                <c:pt idx="12">
                  <c:v>Chemicals &amp; Petrochemicals</c:v>
                </c:pt>
                <c:pt idx="13">
                  <c:v>Textiles &amp; Apparels</c:v>
                </c:pt>
                <c:pt idx="14">
                  <c:v>Leisure Services</c:v>
                </c:pt>
                <c:pt idx="15">
                  <c:v>Gas</c:v>
                </c:pt>
              </c:strCache>
            </c:strRef>
          </c:cat>
          <c:val>
            <c:numRef>
              <c:f>'Bandhan Nifty 200 Quality 30 '!$X$8:$X$23</c:f>
              <c:numCache>
                <c:formatCode>0.00%</c:formatCode>
                <c:ptCount val="16"/>
                <c:pt idx="0">
                  <c:v>0.23480999999999996</c:v>
                </c:pt>
                <c:pt idx="1">
                  <c:v>0.105486</c:v>
                </c:pt>
                <c:pt idx="2">
                  <c:v>9.5691999999999999E-2</c:v>
                </c:pt>
                <c:pt idx="3">
                  <c:v>9.3462999999999991E-2</c:v>
                </c:pt>
                <c:pt idx="4">
                  <c:v>6.7283000000000009E-2</c:v>
                </c:pt>
                <c:pt idx="5">
                  <c:v>6.2868999999999994E-2</c:v>
                </c:pt>
                <c:pt idx="6">
                  <c:v>5.8262999999999995E-2</c:v>
                </c:pt>
                <c:pt idx="7">
                  <c:v>5.1020999999999997E-2</c:v>
                </c:pt>
                <c:pt idx="8">
                  <c:v>4.5110999999999998E-2</c:v>
                </c:pt>
                <c:pt idx="9">
                  <c:v>3.2495999999999997E-2</c:v>
                </c:pt>
                <c:pt idx="10">
                  <c:v>3.0789E-2</c:v>
                </c:pt>
                <c:pt idx="11">
                  <c:v>3.0622E-2</c:v>
                </c:pt>
                <c:pt idx="12">
                  <c:v>2.7099000000000002E-2</c:v>
                </c:pt>
                <c:pt idx="13">
                  <c:v>2.5600999999999999E-2</c:v>
                </c:pt>
                <c:pt idx="14">
                  <c:v>2.3626000000000001E-2</c:v>
                </c:pt>
                <c:pt idx="15">
                  <c:v>1.3879000000000001E-2</c:v>
                </c:pt>
              </c:numCache>
            </c:numRef>
          </c:val>
          <c:extLst>
            <c:ext xmlns:c16="http://schemas.microsoft.com/office/drawing/2014/chart" uri="{C3380CC4-5D6E-409C-BE32-E72D297353CC}">
              <c16:uniqueId val="{00000012-A058-4E85-88A8-676766BB07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Low Vol 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77-4278-8837-43FF5128439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7-4278-8837-43FF5128439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77-4278-8837-43FF5128439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77-4278-8837-43FF5128439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77-4278-8837-43FF5128439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77-4278-8837-43FF5128439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C77-4278-8837-43FF5128439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77-4278-8837-43FF5128439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C77-4278-8837-43FF5128439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C77-4278-8837-43FF5128439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C77-4278-8837-43FF5128439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C77-4278-8837-43FF5128439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C77-4278-8837-43FF5128439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C77-4278-8837-43FF5128439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C77-4278-8837-43FF5128439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C77-4278-8837-43FF5128439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C77-4278-8837-43FF5128439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C77-4278-8837-43FF5128439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Low Vol 30'!$W$8:$W$25</c:f>
              <c:strCache>
                <c:ptCount val="18"/>
                <c:pt idx="0">
                  <c:v>Pharmaceuticals &amp; Biotechnology</c:v>
                </c:pt>
                <c:pt idx="1">
                  <c:v>IT - Software</c:v>
                </c:pt>
                <c:pt idx="2">
                  <c:v>Banks</c:v>
                </c:pt>
                <c:pt idx="3">
                  <c:v>Cement &amp; Cement Products</c:v>
                </c:pt>
                <c:pt idx="4">
                  <c:v>Automobiles</c:v>
                </c:pt>
                <c:pt idx="5">
                  <c:v>Auto Components</c:v>
                </c:pt>
                <c:pt idx="6">
                  <c:v>Telecom - Services</c:v>
                </c:pt>
                <c:pt idx="7">
                  <c:v>Chemicals &amp; Petrochemicals</c:v>
                </c:pt>
                <c:pt idx="8">
                  <c:v>Beverages</c:v>
                </c:pt>
                <c:pt idx="9">
                  <c:v>Food Products</c:v>
                </c:pt>
                <c:pt idx="10">
                  <c:v>Diversified FMCG</c:v>
                </c:pt>
                <c:pt idx="11">
                  <c:v>Healthcare Services</c:v>
                </c:pt>
                <c:pt idx="12">
                  <c:v>Insurance</c:v>
                </c:pt>
                <c:pt idx="13">
                  <c:v>Consumer Durables</c:v>
                </c:pt>
                <c:pt idx="14">
                  <c:v>Electrical Equipment</c:v>
                </c:pt>
                <c:pt idx="15">
                  <c:v>Personal Products</c:v>
                </c:pt>
                <c:pt idx="16">
                  <c:v>Industrial Products</c:v>
                </c:pt>
                <c:pt idx="17">
                  <c:v>Retailing</c:v>
                </c:pt>
              </c:strCache>
            </c:strRef>
          </c:cat>
          <c:val>
            <c:numRef>
              <c:f>'Bandhan Nifty Alpha Low Vol 30'!$X$8:$X$25</c:f>
              <c:numCache>
                <c:formatCode>0.00%</c:formatCode>
                <c:ptCount val="18"/>
                <c:pt idx="0">
                  <c:v>0.21711200000000003</c:v>
                </c:pt>
                <c:pt idx="1">
                  <c:v>0.11943300000000001</c:v>
                </c:pt>
                <c:pt idx="2">
                  <c:v>6.9626999999999994E-2</c:v>
                </c:pt>
                <c:pt idx="3">
                  <c:v>6.3316999999999998E-2</c:v>
                </c:pt>
                <c:pt idx="4">
                  <c:v>6.0651999999999998E-2</c:v>
                </c:pt>
                <c:pt idx="5">
                  <c:v>5.8169999999999999E-2</c:v>
                </c:pt>
                <c:pt idx="6">
                  <c:v>5.0601E-2</c:v>
                </c:pt>
                <c:pt idx="7">
                  <c:v>4.0055E-2</c:v>
                </c:pt>
                <c:pt idx="8">
                  <c:v>3.7680999999999999E-2</c:v>
                </c:pt>
                <c:pt idx="9">
                  <c:v>3.7539000000000003E-2</c:v>
                </c:pt>
                <c:pt idx="10">
                  <c:v>3.4194000000000002E-2</c:v>
                </c:pt>
                <c:pt idx="11">
                  <c:v>3.3932999999999998E-2</c:v>
                </c:pt>
                <c:pt idx="12">
                  <c:v>3.3403000000000002E-2</c:v>
                </c:pt>
                <c:pt idx="13">
                  <c:v>2.9725999999999999E-2</c:v>
                </c:pt>
                <c:pt idx="14">
                  <c:v>2.9649000000000002E-2</c:v>
                </c:pt>
                <c:pt idx="15">
                  <c:v>2.9160999999999999E-2</c:v>
                </c:pt>
                <c:pt idx="16">
                  <c:v>2.8215E-2</c:v>
                </c:pt>
                <c:pt idx="17">
                  <c:v>2.6894000000000001E-2</c:v>
                </c:pt>
              </c:numCache>
            </c:numRef>
          </c:val>
          <c:extLst>
            <c:ext xmlns:c16="http://schemas.microsoft.com/office/drawing/2014/chart" uri="{C3380CC4-5D6E-409C-BE32-E72D297353CC}">
              <c16:uniqueId val="{00000012-3C77-4278-8837-43FF5128439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Next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6C-4E54-8358-237E10A952B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6C-4E54-8358-237E10A952B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6C-4E54-8358-237E10A952B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6C-4E54-8358-237E10A952B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6C-4E54-8358-237E10A952B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6C-4E54-8358-237E10A952B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6C-4E54-8358-237E10A952B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6C-4E54-8358-237E10A952B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C6C-4E54-8358-237E10A952B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C6C-4E54-8358-237E10A952B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C6C-4E54-8358-237E10A952B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C6C-4E54-8358-237E10A952B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C6C-4E54-8358-237E10A952B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C6C-4E54-8358-237E10A952B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C6C-4E54-8358-237E10A952B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C6C-4E54-8358-237E10A952B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C6C-4E54-8358-237E10A952B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C6C-4E54-8358-237E10A952B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Next 50 Index'!$W$8:$W$31</c:f>
              <c:strCache>
                <c:ptCount val="24"/>
                <c:pt idx="0">
                  <c:v>Finance</c:v>
                </c:pt>
                <c:pt idx="1">
                  <c:v>Power</c:v>
                </c:pt>
                <c:pt idx="2">
                  <c:v>Pharmaceuticals &amp; Biotechnology</c:v>
                </c:pt>
                <c:pt idx="3">
                  <c:v>Retailing</c:v>
                </c:pt>
                <c:pt idx="4">
                  <c:v>Banks</c:v>
                </c:pt>
                <c:pt idx="5">
                  <c:v>Electrical Equipment</c:v>
                </c:pt>
                <c:pt idx="6">
                  <c:v>Petroleum Products</c:v>
                </c:pt>
                <c:pt idx="7">
                  <c:v>Beverages</c:v>
                </c:pt>
                <c:pt idx="8">
                  <c:v>Transport Services</c:v>
                </c:pt>
                <c:pt idx="9">
                  <c:v>Aerospace &amp; Defense</c:v>
                </c:pt>
                <c:pt idx="10">
                  <c:v>Insurance</c:v>
                </c:pt>
                <c:pt idx="11">
                  <c:v>Realty</c:v>
                </c:pt>
                <c:pt idx="12">
                  <c:v>Automobiles</c:v>
                </c:pt>
                <c:pt idx="13">
                  <c:v>Personal Products</c:v>
                </c:pt>
                <c:pt idx="14">
                  <c:v>Cement &amp; Cement Products</c:v>
                </c:pt>
                <c:pt idx="15">
                  <c:v>Diversified Metals</c:v>
                </c:pt>
                <c:pt idx="16">
                  <c:v>Auto Components</c:v>
                </c:pt>
                <c:pt idx="17">
                  <c:v>Leisure Services</c:v>
                </c:pt>
                <c:pt idx="18">
                  <c:v>Food Products</c:v>
                </c:pt>
                <c:pt idx="19">
                  <c:v>Gas</c:v>
                </c:pt>
                <c:pt idx="20">
                  <c:v>Chemicals &amp; Petrochemicals</c:v>
                </c:pt>
                <c:pt idx="21">
                  <c:v>IT - Software</c:v>
                </c:pt>
                <c:pt idx="22">
                  <c:v>Consumer Durables</c:v>
                </c:pt>
                <c:pt idx="23">
                  <c:v>Ferrous Metals</c:v>
                </c:pt>
              </c:strCache>
            </c:strRef>
          </c:cat>
          <c:val>
            <c:numRef>
              <c:f>'Bandhan Nifty Next 50 Index'!$X$8:$X$31</c:f>
              <c:numCache>
                <c:formatCode>0.00%</c:formatCode>
                <c:ptCount val="24"/>
                <c:pt idx="0">
                  <c:v>0.11604100000000001</c:v>
                </c:pt>
                <c:pt idx="1">
                  <c:v>8.4458000000000005E-2</c:v>
                </c:pt>
                <c:pt idx="2">
                  <c:v>6.0082999999999998E-2</c:v>
                </c:pt>
                <c:pt idx="3">
                  <c:v>5.4446000000000001E-2</c:v>
                </c:pt>
                <c:pt idx="4">
                  <c:v>5.1957999999999997E-2</c:v>
                </c:pt>
                <c:pt idx="5">
                  <c:v>5.1772000000000006E-2</c:v>
                </c:pt>
                <c:pt idx="6">
                  <c:v>4.9123E-2</c:v>
                </c:pt>
                <c:pt idx="7">
                  <c:v>4.6556E-2</c:v>
                </c:pt>
                <c:pt idx="8">
                  <c:v>4.4741000000000003E-2</c:v>
                </c:pt>
                <c:pt idx="9">
                  <c:v>4.0483999999999999E-2</c:v>
                </c:pt>
                <c:pt idx="10">
                  <c:v>3.9372000000000004E-2</c:v>
                </c:pt>
                <c:pt idx="11">
                  <c:v>3.8966000000000001E-2</c:v>
                </c:pt>
                <c:pt idx="12">
                  <c:v>3.7547000000000004E-2</c:v>
                </c:pt>
                <c:pt idx="13">
                  <c:v>3.7437999999999999E-2</c:v>
                </c:pt>
                <c:pt idx="14">
                  <c:v>3.2779000000000003E-2</c:v>
                </c:pt>
                <c:pt idx="15">
                  <c:v>3.1639E-2</c:v>
                </c:pt>
                <c:pt idx="16">
                  <c:v>3.0988000000000002E-2</c:v>
                </c:pt>
                <c:pt idx="17">
                  <c:v>2.894E-2</c:v>
                </c:pt>
                <c:pt idx="18">
                  <c:v>2.7843E-2</c:v>
                </c:pt>
                <c:pt idx="19">
                  <c:v>2.1915E-2</c:v>
                </c:pt>
                <c:pt idx="20">
                  <c:v>2.0494999999999999E-2</c:v>
                </c:pt>
                <c:pt idx="21">
                  <c:v>2.0025000000000001E-2</c:v>
                </c:pt>
                <c:pt idx="22">
                  <c:v>1.6494000000000002E-2</c:v>
                </c:pt>
                <c:pt idx="23">
                  <c:v>1.5435000000000001E-2</c:v>
                </c:pt>
              </c:numCache>
            </c:numRef>
          </c:val>
          <c:extLst>
            <c:ext xmlns:c16="http://schemas.microsoft.com/office/drawing/2014/chart" uri="{C3380CC4-5D6E-409C-BE32-E72D297353CC}">
              <c16:uniqueId val="{00000012-8C6C-4E54-8358-237E10A952B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FF81-4F21-8062-3EB142498B63}"/>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F81-4F21-8062-3EB142498B63}"/>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FF81-4F21-8062-3EB142498B63}"/>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F81-4F21-8062-3EB142498B63}"/>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0.98866299999999996</c:v>
                </c:pt>
                <c:pt idx="1">
                  <c:v>-4.3819999999999996E-3</c:v>
                </c:pt>
                <c:pt idx="2">
                  <c:v>1.5719E-2</c:v>
                </c:pt>
              </c:numCache>
            </c:numRef>
          </c:val>
          <c:extLst>
            <c:ext xmlns:c16="http://schemas.microsoft.com/office/drawing/2014/chart" uri="{C3380CC4-5D6E-409C-BE32-E72D297353CC}">
              <c16:uniqueId val="{00000004-FF81-4F21-8062-3EB142498B63}"/>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5</xdr:col>
      <xdr:colOff>314325</xdr:colOff>
      <xdr:row>7</xdr:row>
      <xdr:rowOff>34925</xdr:rowOff>
    </xdr:from>
    <xdr:to>
      <xdr:col>12</xdr:col>
      <xdr:colOff>342900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368300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37B953D-80DE-4B48-80FD-846EA1ED7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533400</xdr:colOff>
      <xdr:row>6</xdr:row>
      <xdr:rowOff>57150</xdr:rowOff>
    </xdr:from>
    <xdr:to>
      <xdr:col>16</xdr:col>
      <xdr:colOff>158750</xdr:colOff>
      <xdr:row>18</xdr:row>
      <xdr:rowOff>152400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55145</xdr:colOff>
      <xdr:row>7</xdr:row>
      <xdr:rowOff>54348</xdr:rowOff>
    </xdr:from>
    <xdr:to>
      <xdr:col>13</xdr:col>
      <xdr:colOff>744120</xdr:colOff>
      <xdr:row>17</xdr:row>
      <xdr:rowOff>190499</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66581</xdr:rowOff>
    </xdr:from>
    <xdr:to>
      <xdr:col>13</xdr:col>
      <xdr:colOff>615155</xdr:colOff>
      <xdr:row>39</xdr:row>
      <xdr:rowOff>47625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595306</xdr:colOff>
      <xdr:row>7</xdr:row>
      <xdr:rowOff>11907</xdr:rowOff>
    </xdr:from>
    <xdr:to>
      <xdr:col>13</xdr:col>
      <xdr:colOff>669638</xdr:colOff>
      <xdr:row>18</xdr:row>
      <xdr:rowOff>71438</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527697</xdr:colOff>
      <xdr:row>7</xdr:row>
      <xdr:rowOff>6997</xdr:rowOff>
    </xdr:from>
    <xdr:to>
      <xdr:col>13</xdr:col>
      <xdr:colOff>711200</xdr:colOff>
      <xdr:row>18</xdr:row>
      <xdr:rowOff>50471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6</xdr:col>
      <xdr:colOff>38100</xdr:colOff>
      <xdr:row>7</xdr:row>
      <xdr:rowOff>50801</xdr:rowOff>
    </xdr:from>
    <xdr:to>
      <xdr:col>13</xdr:col>
      <xdr:colOff>584200</xdr:colOff>
      <xdr:row>22</xdr:row>
      <xdr:rowOff>50801</xdr:rowOff>
    </xdr:to>
    <xdr:graphicFrame macro="">
      <xdr:nvGraphicFramePr>
        <xdr:cNvPr id="2" name="Chart 1">
          <a:extLst>
            <a:ext uri="{FF2B5EF4-FFF2-40B4-BE49-F238E27FC236}">
              <a16:creationId xmlns:a16="http://schemas.microsoft.com/office/drawing/2014/main" id="{45DB0891-FCBC-45B7-9858-655CF627C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0B893A6-20AF-4F80-86B2-A7FDAA116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A2551D5F-9553-4BBD-8F64-6947273FD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19C7A1BE-3BA3-44D2-AEB0-D440EF48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174975A-5C03-4A9F-AEF7-53DA3550E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632FD06-0844-4A9F-BD98-06041CA20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1EB4C9-6566-4E83-92C4-EF35A3A0B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CFBEC7B2-B05A-4BD2-9CC0-D64AED054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2CD59CF4-95F9-4155-B6F9-66C7736B0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3BFD3804-135E-416E-8448-CD4B34EFE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C18C1043-8CD0-4099-8389-B5488191A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6D92B242-E9A4-4274-AB6B-8D0E689CA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E5E3E3"/>
    <pageSetUpPr fitToPage="1"/>
  </sheetPr>
  <dimension ref="B1:X691"/>
  <sheetViews>
    <sheetView showGridLines="0" tabSelected="1" zoomScale="75" zoomScaleNormal="75" workbookViewId="0"/>
  </sheetViews>
  <sheetFormatPr defaultColWidth="9.140625"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1"/>
      <c r="C2" s="42"/>
      <c r="D2" s="42"/>
      <c r="E2" s="42"/>
      <c r="F2" s="42"/>
      <c r="G2" s="42"/>
      <c r="H2" s="42"/>
      <c r="I2" s="42"/>
      <c r="J2" s="42"/>
      <c r="K2" s="42"/>
      <c r="L2" s="42"/>
      <c r="M2" s="92"/>
    </row>
    <row r="3" spans="2:24" ht="20.25" customHeight="1" x14ac:dyDescent="0.2">
      <c r="B3" s="93"/>
      <c r="C3" s="300" t="s">
        <v>148</v>
      </c>
      <c r="D3" s="300"/>
      <c r="E3" s="300"/>
      <c r="F3" s="300"/>
      <c r="G3" s="300"/>
      <c r="H3" s="300"/>
      <c r="I3" s="300"/>
      <c r="J3" s="300"/>
      <c r="K3" s="300"/>
      <c r="L3" s="300"/>
      <c r="M3" s="301"/>
    </row>
    <row r="4" spans="2:24" ht="15.75" x14ac:dyDescent="0.25">
      <c r="B4" s="93"/>
      <c r="C4" s="67" t="s">
        <v>430</v>
      </c>
      <c r="D4" s="29"/>
      <c r="E4" s="29"/>
      <c r="F4" s="5"/>
      <c r="G4" s="5"/>
      <c r="H4" s="5"/>
      <c r="I4" s="5"/>
      <c r="J4" s="5"/>
      <c r="K4" s="5"/>
      <c r="L4" s="5"/>
      <c r="M4" s="20"/>
    </row>
    <row r="5" spans="2:24" ht="20.25" customHeight="1" x14ac:dyDescent="0.25">
      <c r="B5" s="93"/>
      <c r="C5" s="211" t="s">
        <v>431</v>
      </c>
      <c r="D5" s="94" t="s">
        <v>385</v>
      </c>
      <c r="E5" s="19"/>
      <c r="F5" s="5"/>
      <c r="G5" s="5"/>
      <c r="H5" s="5"/>
      <c r="I5" s="5"/>
      <c r="J5" s="5"/>
      <c r="K5" s="5"/>
      <c r="L5" s="5"/>
      <c r="M5" s="20"/>
    </row>
    <row r="6" spans="2:24" x14ac:dyDescent="0.2">
      <c r="B6" s="93"/>
      <c r="C6" s="5"/>
      <c r="D6" s="5"/>
      <c r="E6" s="5"/>
      <c r="F6" s="5"/>
      <c r="G6" s="5"/>
      <c r="H6" s="5"/>
      <c r="I6" s="5"/>
      <c r="J6" s="5"/>
      <c r="K6" s="5"/>
      <c r="L6" s="5"/>
      <c r="M6" s="20"/>
    </row>
    <row r="7" spans="2:24" ht="15.75" x14ac:dyDescent="0.2">
      <c r="B7" s="93"/>
      <c r="C7" s="160" t="s">
        <v>43</v>
      </c>
      <c r="D7" s="95" t="s">
        <v>45</v>
      </c>
      <c r="E7" s="5"/>
      <c r="F7" s="302" t="s">
        <v>50</v>
      </c>
      <c r="G7" s="302"/>
      <c r="H7" s="302"/>
      <c r="I7" s="302"/>
      <c r="J7" s="302"/>
      <c r="K7" s="302"/>
      <c r="L7" s="302"/>
      <c r="M7" s="303"/>
    </row>
    <row r="8" spans="2:24" ht="30" x14ac:dyDescent="0.2">
      <c r="B8" s="93"/>
      <c r="C8" s="59" t="s">
        <v>88</v>
      </c>
      <c r="D8" s="174">
        <v>0.98357000000000006</v>
      </c>
      <c r="E8" s="5"/>
      <c r="F8" s="5"/>
      <c r="G8" s="31"/>
      <c r="H8" s="5"/>
      <c r="I8" s="5" t="s">
        <v>89</v>
      </c>
      <c r="J8" s="47">
        <f>D9</f>
        <v>0.98357000000000006</v>
      </c>
      <c r="K8" s="5"/>
      <c r="L8" s="5"/>
      <c r="M8" s="20"/>
      <c r="S8" s="49"/>
      <c r="W8" s="3" t="s">
        <v>3</v>
      </c>
      <c r="X8" s="3">
        <v>0.25058799999999998</v>
      </c>
    </row>
    <row r="9" spans="2:24" ht="15.75" x14ac:dyDescent="0.25">
      <c r="B9" s="93"/>
      <c r="C9" s="60" t="s">
        <v>89</v>
      </c>
      <c r="D9" s="175">
        <v>0.98357000000000006</v>
      </c>
      <c r="E9" s="5"/>
      <c r="F9" s="5"/>
      <c r="G9" s="5"/>
      <c r="H9" s="5"/>
      <c r="I9" s="5" t="s">
        <v>20</v>
      </c>
      <c r="J9" s="47">
        <f>D13</f>
        <v>-1.9070000000000001E-3</v>
      </c>
      <c r="K9" s="5"/>
      <c r="L9" s="5"/>
      <c r="M9" s="20"/>
      <c r="S9" s="49"/>
      <c r="W9" s="3" t="s">
        <v>9</v>
      </c>
      <c r="X9" s="3">
        <v>6.1296999999999997E-2</v>
      </c>
    </row>
    <row r="10" spans="2:24" x14ac:dyDescent="0.2">
      <c r="B10" s="93"/>
      <c r="C10" s="161" t="s">
        <v>98</v>
      </c>
      <c r="D10" s="176">
        <v>1.8336999999999999E-2</v>
      </c>
      <c r="E10" s="5"/>
      <c r="F10" s="5"/>
      <c r="G10" s="5"/>
      <c r="I10" s="3" t="s">
        <v>99</v>
      </c>
      <c r="J10" s="47">
        <f>D11</f>
        <v>1.8336999999999999E-2</v>
      </c>
      <c r="K10" s="5"/>
      <c r="L10" s="5"/>
      <c r="M10" s="20"/>
      <c r="S10" s="49"/>
      <c r="W10" s="3" t="s">
        <v>10</v>
      </c>
      <c r="X10" s="3">
        <v>3.0130999999999998E-2</v>
      </c>
    </row>
    <row r="11" spans="2:24" ht="15.75" x14ac:dyDescent="0.2">
      <c r="B11" s="93"/>
      <c r="C11" s="162" t="s">
        <v>99</v>
      </c>
      <c r="D11" s="177">
        <v>1.8336999999999999E-2</v>
      </c>
      <c r="E11" s="5"/>
      <c r="F11" s="5"/>
      <c r="G11" s="5"/>
      <c r="J11" s="5"/>
      <c r="K11" s="5"/>
      <c r="L11" s="5"/>
      <c r="M11" s="20"/>
      <c r="S11" s="49"/>
      <c r="W11" s="3" t="s">
        <v>7</v>
      </c>
      <c r="X11" s="3">
        <v>2.7299E-2</v>
      </c>
    </row>
    <row r="12" spans="2:24" x14ac:dyDescent="0.2">
      <c r="B12" s="93"/>
      <c r="C12" s="161"/>
      <c r="D12" s="83"/>
      <c r="E12" s="5"/>
      <c r="F12" s="5"/>
      <c r="G12" s="5"/>
      <c r="J12" s="5"/>
      <c r="K12" s="5"/>
      <c r="L12" s="5"/>
      <c r="M12" s="20"/>
      <c r="S12" s="49"/>
      <c r="W12" s="3" t="s">
        <v>26</v>
      </c>
      <c r="X12" s="3">
        <v>2.5925E-2</v>
      </c>
    </row>
    <row r="13" spans="2:24" ht="15.75" x14ac:dyDescent="0.2">
      <c r="B13" s="93"/>
      <c r="C13" s="162" t="s">
        <v>20</v>
      </c>
      <c r="D13" s="177">
        <v>-1.9070000000000001E-3</v>
      </c>
      <c r="E13" s="5"/>
      <c r="F13" s="5"/>
      <c r="G13" s="5"/>
      <c r="J13" s="5"/>
      <c r="K13" s="5"/>
      <c r="L13" s="5"/>
      <c r="M13" s="20"/>
      <c r="S13" s="49"/>
      <c r="W13" s="3" t="s">
        <v>8</v>
      </c>
      <c r="X13" s="3">
        <v>2.3822000000000003E-2</v>
      </c>
    </row>
    <row r="14" spans="2:24" x14ac:dyDescent="0.2">
      <c r="B14" s="93"/>
      <c r="C14" s="161"/>
      <c r="D14" s="83"/>
      <c r="E14" s="5"/>
      <c r="F14" s="5"/>
      <c r="G14" s="5"/>
      <c r="H14" s="5"/>
      <c r="I14" s="5"/>
      <c r="J14" s="5"/>
      <c r="K14" s="5"/>
      <c r="L14" s="5"/>
      <c r="M14" s="20"/>
      <c r="S14" s="49"/>
      <c r="W14" s="3" t="s">
        <v>25</v>
      </c>
      <c r="X14" s="3">
        <v>2.3753E-2</v>
      </c>
    </row>
    <row r="15" spans="2:24" ht="15.75" x14ac:dyDescent="0.2">
      <c r="B15" s="93"/>
      <c r="C15" s="163" t="s">
        <v>21</v>
      </c>
      <c r="D15" s="84">
        <f>D13+D11+D9</f>
        <v>1</v>
      </c>
      <c r="E15" s="5"/>
      <c r="F15" s="5"/>
      <c r="G15" s="5"/>
      <c r="H15" s="5"/>
      <c r="I15" s="5"/>
      <c r="J15" s="5"/>
      <c r="K15" s="5"/>
      <c r="L15" s="5"/>
      <c r="M15" s="20"/>
      <c r="S15" s="49"/>
      <c r="W15" s="3" t="s">
        <v>17</v>
      </c>
      <c r="X15" s="3">
        <v>1.8620999999999999E-2</v>
      </c>
    </row>
    <row r="16" spans="2:24" x14ac:dyDescent="0.2">
      <c r="B16" s="93"/>
      <c r="E16" s="5"/>
      <c r="F16" s="5"/>
      <c r="G16" s="5"/>
      <c r="H16" s="5"/>
      <c r="I16" s="5"/>
      <c r="J16" s="5"/>
      <c r="K16" s="5"/>
      <c r="L16" s="5"/>
      <c r="M16" s="20"/>
      <c r="S16" s="49"/>
      <c r="W16" s="3" t="s">
        <v>27</v>
      </c>
      <c r="X16" s="3">
        <v>1.7219000000000002E-2</v>
      </c>
    </row>
    <row r="17" spans="2:24" ht="15.75" x14ac:dyDescent="0.25">
      <c r="B17" s="93"/>
      <c r="C17" s="35"/>
      <c r="D17" s="36"/>
      <c r="E17" s="5"/>
      <c r="F17" s="5"/>
      <c r="G17" s="5"/>
      <c r="H17" s="5"/>
      <c r="I17" s="5"/>
      <c r="J17" s="5"/>
      <c r="K17" s="5"/>
      <c r="L17" s="5"/>
      <c r="M17" s="20"/>
      <c r="S17" s="49"/>
      <c r="W17" s="3" t="s">
        <v>12</v>
      </c>
      <c r="X17" s="3">
        <v>1.6056000000000001E-2</v>
      </c>
    </row>
    <row r="18" spans="2:24" x14ac:dyDescent="0.2">
      <c r="B18" s="93"/>
      <c r="C18" s="41"/>
      <c r="D18" s="41"/>
      <c r="E18" s="5"/>
      <c r="F18" s="5"/>
      <c r="G18" s="5"/>
      <c r="H18" s="5"/>
      <c r="I18" s="5"/>
      <c r="J18" s="5"/>
      <c r="K18" s="5"/>
      <c r="L18" s="5"/>
      <c r="M18" s="20"/>
      <c r="S18" s="49"/>
      <c r="W18" s="3" t="s">
        <v>6</v>
      </c>
      <c r="X18" s="3">
        <v>1.41E-2</v>
      </c>
    </row>
    <row r="19" spans="2:24" ht="15.75" x14ac:dyDescent="0.25">
      <c r="B19" s="93"/>
      <c r="C19" s="35"/>
      <c r="D19" s="37"/>
      <c r="E19" s="5"/>
      <c r="F19" s="5"/>
      <c r="G19" s="5"/>
      <c r="H19" s="5"/>
      <c r="I19" s="5"/>
      <c r="J19" s="5"/>
      <c r="K19" s="5"/>
      <c r="L19" s="5"/>
      <c r="M19" s="20"/>
      <c r="S19" s="49"/>
      <c r="W19" s="3" t="s">
        <v>14</v>
      </c>
      <c r="X19" s="3">
        <v>1.1167E-2</v>
      </c>
    </row>
    <row r="20" spans="2:24" x14ac:dyDescent="0.2">
      <c r="B20" s="93"/>
      <c r="E20" s="5"/>
      <c r="F20" s="5"/>
      <c r="G20" s="5"/>
      <c r="H20" s="5"/>
      <c r="I20" s="5"/>
      <c r="J20" s="5"/>
      <c r="K20" s="5"/>
      <c r="L20" s="5"/>
      <c r="M20" s="20"/>
      <c r="S20" s="49"/>
      <c r="W20" s="3" t="s">
        <v>11</v>
      </c>
      <c r="X20" s="3">
        <v>1.1159000000000001E-2</v>
      </c>
    </row>
    <row r="21" spans="2:24" x14ac:dyDescent="0.2">
      <c r="B21" s="93"/>
      <c r="E21" s="5"/>
      <c r="F21" s="5"/>
      <c r="G21" s="5"/>
      <c r="H21" s="5"/>
      <c r="I21" s="5"/>
      <c r="J21" s="5"/>
      <c r="K21" s="5"/>
      <c r="L21" s="5"/>
      <c r="M21" s="20"/>
      <c r="S21" s="49"/>
      <c r="W21" s="3" t="s">
        <v>18</v>
      </c>
      <c r="X21" s="3">
        <v>1.0543E-2</v>
      </c>
    </row>
    <row r="22" spans="2:24" ht="16.5" thickBot="1" x14ac:dyDescent="0.3">
      <c r="B22" s="96"/>
      <c r="C22" s="304"/>
      <c r="D22" s="304"/>
      <c r="E22" s="304"/>
      <c r="F22" s="304"/>
      <c r="G22" s="304"/>
      <c r="H22" s="304"/>
      <c r="I22" s="304"/>
      <c r="J22" s="304"/>
      <c r="K22" s="304"/>
      <c r="L22" s="304"/>
      <c r="M22" s="305"/>
      <c r="S22" s="49"/>
    </row>
    <row r="23" spans="2:24" ht="15.75" thickBot="1" x14ac:dyDescent="0.25">
      <c r="S23" s="49"/>
    </row>
    <row r="24" spans="2:24" ht="15" customHeight="1" x14ac:dyDescent="0.2">
      <c r="B24" s="306" t="s">
        <v>177</v>
      </c>
      <c r="C24" s="307"/>
      <c r="D24" s="307"/>
      <c r="E24" s="307"/>
      <c r="F24" s="307"/>
      <c r="G24" s="307"/>
      <c r="H24" s="307"/>
      <c r="I24" s="307"/>
      <c r="J24" s="307"/>
      <c r="K24" s="307"/>
      <c r="L24" s="307"/>
      <c r="M24" s="307"/>
      <c r="N24" s="308"/>
      <c r="S24" s="49"/>
    </row>
    <row r="25" spans="2:24" ht="15.75" customHeight="1" x14ac:dyDescent="0.2">
      <c r="B25" s="309"/>
      <c r="C25" s="310"/>
      <c r="D25" s="310"/>
      <c r="E25" s="310"/>
      <c r="F25" s="310"/>
      <c r="G25" s="310"/>
      <c r="H25" s="310"/>
      <c r="I25" s="310"/>
      <c r="J25" s="310"/>
      <c r="K25" s="310"/>
      <c r="L25" s="310"/>
      <c r="M25" s="310"/>
      <c r="N25" s="311"/>
      <c r="S25" s="49"/>
    </row>
    <row r="26" spans="2:24" ht="15.75" customHeight="1" x14ac:dyDescent="0.2">
      <c r="B26" s="309"/>
      <c r="C26" s="310"/>
      <c r="D26" s="310"/>
      <c r="E26" s="310"/>
      <c r="F26" s="310"/>
      <c r="G26" s="310"/>
      <c r="H26" s="310"/>
      <c r="I26" s="310"/>
      <c r="J26" s="310"/>
      <c r="K26" s="310"/>
      <c r="L26" s="310"/>
      <c r="M26" s="310"/>
      <c r="N26" s="311"/>
      <c r="S26" s="49"/>
    </row>
    <row r="27" spans="2:24" ht="15.75" customHeight="1" x14ac:dyDescent="0.2">
      <c r="B27" s="309"/>
      <c r="C27" s="310"/>
      <c r="D27" s="310"/>
      <c r="E27" s="310"/>
      <c r="F27" s="310"/>
      <c r="G27" s="310"/>
      <c r="H27" s="310"/>
      <c r="I27" s="310"/>
      <c r="J27" s="310"/>
      <c r="K27" s="310"/>
      <c r="L27" s="310"/>
      <c r="M27" s="310"/>
      <c r="N27" s="311"/>
      <c r="S27" s="49"/>
    </row>
    <row r="28" spans="2:24" ht="15.75" customHeight="1" x14ac:dyDescent="0.2">
      <c r="B28" s="309"/>
      <c r="C28" s="310"/>
      <c r="D28" s="310"/>
      <c r="E28" s="310"/>
      <c r="F28" s="310"/>
      <c r="G28" s="310"/>
      <c r="H28" s="310"/>
      <c r="I28" s="310"/>
      <c r="J28" s="310"/>
      <c r="K28" s="310"/>
      <c r="L28" s="310"/>
      <c r="M28" s="310"/>
      <c r="N28" s="311"/>
      <c r="S28" s="49"/>
    </row>
    <row r="29" spans="2:24" ht="15.75" customHeight="1" x14ac:dyDescent="0.2">
      <c r="B29" s="309"/>
      <c r="C29" s="310"/>
      <c r="D29" s="310"/>
      <c r="E29" s="310"/>
      <c r="F29" s="310"/>
      <c r="G29" s="310"/>
      <c r="H29" s="310"/>
      <c r="I29" s="310"/>
      <c r="J29" s="310"/>
      <c r="K29" s="310"/>
      <c r="L29" s="310"/>
      <c r="M29" s="310"/>
      <c r="N29" s="311"/>
      <c r="S29" s="49"/>
    </row>
    <row r="30" spans="2:24" ht="28.5" customHeight="1" thickBot="1" x14ac:dyDescent="0.25">
      <c r="B30" s="312"/>
      <c r="C30" s="313"/>
      <c r="D30" s="313"/>
      <c r="E30" s="313"/>
      <c r="F30" s="313"/>
      <c r="G30" s="313"/>
      <c r="H30" s="313"/>
      <c r="I30" s="313"/>
      <c r="J30" s="313"/>
      <c r="K30" s="313"/>
      <c r="L30" s="313"/>
      <c r="M30" s="313"/>
      <c r="N30" s="314"/>
      <c r="S30" s="49"/>
    </row>
    <row r="31" spans="2:24" ht="15.75" thickBot="1" x14ac:dyDescent="0.25">
      <c r="S31" s="49"/>
    </row>
    <row r="32" spans="2:24" x14ac:dyDescent="0.2">
      <c r="B32" s="306" t="s">
        <v>90</v>
      </c>
      <c r="C32" s="307"/>
      <c r="D32" s="307"/>
      <c r="E32" s="307"/>
      <c r="F32" s="307"/>
      <c r="G32" s="307"/>
      <c r="H32" s="307"/>
      <c r="I32" s="307"/>
      <c r="J32" s="307"/>
      <c r="K32" s="307"/>
      <c r="L32" s="307"/>
      <c r="M32" s="307"/>
      <c r="N32" s="308"/>
      <c r="S32" s="49"/>
    </row>
    <row r="33" spans="2:19" x14ac:dyDescent="0.2">
      <c r="B33" s="309"/>
      <c r="C33" s="310"/>
      <c r="D33" s="310"/>
      <c r="E33" s="310"/>
      <c r="F33" s="310"/>
      <c r="G33" s="310"/>
      <c r="H33" s="310"/>
      <c r="I33" s="310"/>
      <c r="J33" s="310"/>
      <c r="K33" s="310"/>
      <c r="L33" s="310"/>
      <c r="M33" s="310"/>
      <c r="N33" s="311"/>
      <c r="S33" s="49"/>
    </row>
    <row r="34" spans="2:19" x14ac:dyDescent="0.2">
      <c r="B34" s="309"/>
      <c r="C34" s="310"/>
      <c r="D34" s="310"/>
      <c r="E34" s="310"/>
      <c r="F34" s="310"/>
      <c r="G34" s="310"/>
      <c r="H34" s="310"/>
      <c r="I34" s="310"/>
      <c r="J34" s="310"/>
      <c r="K34" s="310"/>
      <c r="L34" s="310"/>
      <c r="M34" s="310"/>
      <c r="N34" s="311"/>
      <c r="S34" s="49"/>
    </row>
    <row r="35" spans="2:19" x14ac:dyDescent="0.2">
      <c r="B35" s="309"/>
      <c r="C35" s="310"/>
      <c r="D35" s="310"/>
      <c r="E35" s="310"/>
      <c r="F35" s="310"/>
      <c r="G35" s="310"/>
      <c r="H35" s="310"/>
      <c r="I35" s="310"/>
      <c r="J35" s="310"/>
      <c r="K35" s="310"/>
      <c r="L35" s="310"/>
      <c r="M35" s="310"/>
      <c r="N35" s="311"/>
      <c r="S35" s="49"/>
    </row>
    <row r="36" spans="2:19" x14ac:dyDescent="0.2">
      <c r="B36" s="309"/>
      <c r="C36" s="310"/>
      <c r="D36" s="310"/>
      <c r="E36" s="310"/>
      <c r="F36" s="310"/>
      <c r="G36" s="310"/>
      <c r="H36" s="310"/>
      <c r="I36" s="310"/>
      <c r="J36" s="310"/>
      <c r="K36" s="310"/>
      <c r="L36" s="310"/>
      <c r="M36" s="310"/>
      <c r="N36" s="311"/>
      <c r="S36" s="49"/>
    </row>
    <row r="37" spans="2:19" x14ac:dyDescent="0.2">
      <c r="B37" s="309"/>
      <c r="C37" s="310"/>
      <c r="D37" s="310"/>
      <c r="E37" s="310"/>
      <c r="F37" s="310"/>
      <c r="G37" s="310"/>
      <c r="H37" s="310"/>
      <c r="I37" s="310"/>
      <c r="J37" s="310"/>
      <c r="K37" s="310"/>
      <c r="L37" s="310"/>
      <c r="M37" s="310"/>
      <c r="N37" s="311"/>
      <c r="S37" s="49"/>
    </row>
    <row r="38" spans="2:19" ht="15.75" thickBot="1" x14ac:dyDescent="0.25">
      <c r="B38" s="312"/>
      <c r="C38" s="313"/>
      <c r="D38" s="313"/>
      <c r="E38" s="313"/>
      <c r="F38" s="313"/>
      <c r="G38" s="313"/>
      <c r="H38" s="313"/>
      <c r="I38" s="313"/>
      <c r="J38" s="313"/>
      <c r="K38" s="313"/>
      <c r="L38" s="313"/>
      <c r="M38" s="313"/>
      <c r="N38" s="314"/>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7" width="9.140625" style="39"/>
    <col min="28"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315" t="s">
        <v>168</v>
      </c>
      <c r="D3" s="316"/>
      <c r="E3" s="316"/>
      <c r="F3" s="316"/>
      <c r="G3" s="316"/>
      <c r="H3" s="316"/>
      <c r="I3" s="316"/>
      <c r="J3" s="316"/>
      <c r="K3" s="316"/>
      <c r="L3" s="316"/>
      <c r="M3" s="316"/>
      <c r="N3" s="316"/>
      <c r="O3" s="316"/>
      <c r="P3" s="316"/>
      <c r="Q3" s="316"/>
      <c r="R3" s="316"/>
      <c r="S3" s="316"/>
      <c r="T3" s="25"/>
    </row>
    <row r="4" spans="1:24" ht="15.75" customHeight="1" x14ac:dyDescent="0.25">
      <c r="B4" s="64"/>
      <c r="C4" s="67" t="s">
        <v>430</v>
      </c>
      <c r="D4" s="143"/>
      <c r="E4" s="156"/>
      <c r="F4" s="156"/>
      <c r="G4" s="156"/>
      <c r="H4" s="156"/>
      <c r="I4" s="156"/>
      <c r="J4" s="156"/>
      <c r="K4" s="29"/>
      <c r="L4" s="29"/>
      <c r="M4" s="29"/>
      <c r="N4" s="29"/>
      <c r="O4" s="29"/>
      <c r="P4" s="29"/>
      <c r="Q4" s="29"/>
      <c r="R4" s="29"/>
      <c r="S4" s="29"/>
      <c r="T4" s="25"/>
    </row>
    <row r="5" spans="1:24" ht="18" customHeight="1" x14ac:dyDescent="0.25">
      <c r="B5" s="64"/>
      <c r="C5" s="211" t="s">
        <v>431</v>
      </c>
      <c r="D5" s="317" t="s">
        <v>432</v>
      </c>
      <c r="E5" s="317"/>
      <c r="F5" s="29"/>
      <c r="G5" s="29"/>
      <c r="H5" s="51"/>
      <c r="I5" s="51"/>
      <c r="J5" s="51"/>
      <c r="K5" s="51"/>
      <c r="L5" s="51"/>
      <c r="M5" s="51"/>
      <c r="N5" s="51"/>
      <c r="O5" s="51"/>
      <c r="P5" s="51"/>
      <c r="Q5" s="51"/>
      <c r="R5" s="51"/>
      <c r="S5" s="51"/>
      <c r="T5" s="52"/>
    </row>
    <row r="6" spans="1:24" ht="15" customHeight="1" x14ac:dyDescent="0.25">
      <c r="B6" s="64"/>
      <c r="C6" s="29"/>
      <c r="D6" s="29"/>
      <c r="E6" s="29"/>
      <c r="F6" s="29"/>
      <c r="G6" s="29"/>
      <c r="H6" s="51"/>
      <c r="I6" s="51"/>
      <c r="J6" s="51"/>
      <c r="K6" s="51"/>
      <c r="L6" s="51"/>
      <c r="M6" s="51"/>
      <c r="N6" s="51"/>
      <c r="O6" s="51"/>
      <c r="P6" s="51"/>
      <c r="Q6" s="51"/>
      <c r="R6" s="51"/>
      <c r="S6" s="51"/>
      <c r="T6" s="52"/>
    </row>
    <row r="7" spans="1:24" ht="32.25" customHeight="1" x14ac:dyDescent="0.25">
      <c r="B7" s="64"/>
      <c r="C7" s="144" t="s">
        <v>0</v>
      </c>
      <c r="D7" s="145" t="s">
        <v>1</v>
      </c>
      <c r="E7" s="144" t="s">
        <v>2</v>
      </c>
      <c r="F7" s="29"/>
      <c r="G7" s="29"/>
      <c r="H7" s="29"/>
      <c r="I7" s="29"/>
      <c r="J7" s="29"/>
      <c r="K7" s="29"/>
      <c r="L7" s="29"/>
      <c r="M7" s="29"/>
      <c r="N7" s="29"/>
      <c r="O7" s="29"/>
      <c r="P7" s="29"/>
      <c r="Q7" s="29"/>
      <c r="R7" s="29"/>
      <c r="S7" s="29"/>
      <c r="T7" s="25"/>
      <c r="W7" s="39" t="s">
        <v>22</v>
      </c>
      <c r="X7" s="39" t="s">
        <v>2</v>
      </c>
    </row>
    <row r="8" spans="1:24" ht="15" customHeight="1" x14ac:dyDescent="0.25">
      <c r="B8" s="64"/>
      <c r="C8" s="192" t="s">
        <v>29</v>
      </c>
      <c r="D8" s="187" t="s">
        <v>3</v>
      </c>
      <c r="E8" s="188">
        <v>4.8176999999999998E-2</v>
      </c>
      <c r="F8" s="128"/>
      <c r="G8" s="29"/>
      <c r="H8" s="29"/>
      <c r="I8" s="29"/>
      <c r="J8" s="29"/>
      <c r="K8" s="29"/>
      <c r="L8" s="29"/>
      <c r="M8" s="29"/>
      <c r="N8" s="29"/>
      <c r="O8" s="29"/>
      <c r="P8" s="29"/>
      <c r="Q8" s="29"/>
      <c r="R8" s="29"/>
      <c r="S8" s="29"/>
      <c r="T8" s="25"/>
      <c r="W8" s="290" t="s">
        <v>3</v>
      </c>
      <c r="X8" s="289">
        <v>0.15968699999999997</v>
      </c>
    </row>
    <row r="9" spans="1:24" ht="15.75" customHeight="1" x14ac:dyDescent="0.25">
      <c r="B9" s="64"/>
      <c r="C9" s="192" t="s">
        <v>32</v>
      </c>
      <c r="D9" s="187" t="s">
        <v>3</v>
      </c>
      <c r="E9" s="188">
        <v>3.4849999999999999E-2</v>
      </c>
      <c r="F9" s="128"/>
      <c r="G9" s="29"/>
      <c r="H9" s="29"/>
      <c r="I9" s="29"/>
      <c r="J9" s="29"/>
      <c r="K9" s="29"/>
      <c r="L9" s="29"/>
      <c r="M9" s="29"/>
      <c r="N9" s="29"/>
      <c r="O9" s="29"/>
      <c r="P9" s="29"/>
      <c r="Q9" s="29"/>
      <c r="R9" s="29"/>
      <c r="S9" s="29"/>
      <c r="T9" s="25"/>
      <c r="W9" s="290" t="s">
        <v>4</v>
      </c>
      <c r="X9" s="289">
        <v>5.9545999999999995E-2</v>
      </c>
    </row>
    <row r="10" spans="1:24" ht="15" customHeight="1" x14ac:dyDescent="0.25">
      <c r="B10" s="64"/>
      <c r="C10" s="192" t="s">
        <v>258</v>
      </c>
      <c r="D10" s="187" t="s">
        <v>179</v>
      </c>
      <c r="E10" s="188">
        <v>2.5901E-2</v>
      </c>
      <c r="F10" s="128"/>
      <c r="G10" s="29"/>
      <c r="H10" s="29"/>
      <c r="I10" s="29"/>
      <c r="J10" s="29"/>
      <c r="K10" s="29"/>
      <c r="L10" s="29"/>
      <c r="M10" s="29"/>
      <c r="N10" s="29"/>
      <c r="O10" s="29"/>
      <c r="P10" s="29"/>
      <c r="Q10" s="29"/>
      <c r="R10" s="29"/>
      <c r="S10" s="29"/>
      <c r="T10" s="25"/>
      <c r="W10" s="290" t="s">
        <v>26</v>
      </c>
      <c r="X10" s="289">
        <v>5.8893999999999995E-2</v>
      </c>
    </row>
    <row r="11" spans="1:24" ht="15" customHeight="1" x14ac:dyDescent="0.25">
      <c r="B11" s="64"/>
      <c r="C11" s="192" t="s">
        <v>36</v>
      </c>
      <c r="D11" s="187" t="s">
        <v>3</v>
      </c>
      <c r="E11" s="188">
        <v>2.2689999999999998E-2</v>
      </c>
      <c r="F11" s="128"/>
      <c r="G11" s="29"/>
      <c r="H11" s="29"/>
      <c r="I11" s="29"/>
      <c r="J11" s="29"/>
      <c r="K11" s="29"/>
      <c r="L11" s="29"/>
      <c r="M11" s="29"/>
      <c r="N11" s="29"/>
      <c r="O11" s="29"/>
      <c r="P11" s="29"/>
      <c r="Q11" s="29"/>
      <c r="R11" s="29"/>
      <c r="S11" s="29"/>
      <c r="T11" s="25"/>
      <c r="W11" s="290" t="s">
        <v>108</v>
      </c>
      <c r="X11" s="289">
        <v>5.8414999999999995E-2</v>
      </c>
    </row>
    <row r="12" spans="1:24" ht="15" customHeight="1" x14ac:dyDescent="0.25">
      <c r="B12" s="64"/>
      <c r="C12" s="192" t="s">
        <v>239</v>
      </c>
      <c r="D12" s="187" t="s">
        <v>4</v>
      </c>
      <c r="E12" s="188">
        <v>2.1082E-2</v>
      </c>
      <c r="F12" s="128"/>
      <c r="G12" s="29"/>
      <c r="H12" s="29"/>
      <c r="I12" s="29"/>
      <c r="J12" s="29"/>
      <c r="K12" s="29"/>
      <c r="L12" s="29"/>
      <c r="M12" s="29"/>
      <c r="N12" s="29"/>
      <c r="O12" s="29"/>
      <c r="P12" s="29"/>
      <c r="Q12" s="29"/>
      <c r="R12" s="29"/>
      <c r="S12" s="29"/>
      <c r="T12" s="25"/>
      <c r="W12" s="290" t="s">
        <v>104</v>
      </c>
      <c r="X12" s="289">
        <v>4.1921E-2</v>
      </c>
    </row>
    <row r="13" spans="1:24" ht="15" customHeight="1" x14ac:dyDescent="0.25">
      <c r="B13" s="64"/>
      <c r="C13" s="192" t="s">
        <v>300</v>
      </c>
      <c r="D13" s="187" t="s">
        <v>82</v>
      </c>
      <c r="E13" s="188">
        <v>2.0705999999999999E-2</v>
      </c>
      <c r="F13" s="128"/>
      <c r="G13" s="29"/>
      <c r="H13" s="29"/>
      <c r="I13" s="29"/>
      <c r="J13" s="29"/>
      <c r="K13" s="29"/>
      <c r="L13" s="29"/>
      <c r="M13" s="29"/>
      <c r="N13" s="29"/>
      <c r="O13" s="29"/>
      <c r="P13" s="29"/>
      <c r="Q13" s="29"/>
      <c r="R13" s="29"/>
      <c r="S13" s="29"/>
      <c r="T13" s="25"/>
      <c r="W13" s="290" t="s">
        <v>110</v>
      </c>
      <c r="X13" s="289">
        <v>3.7880999999999998E-2</v>
      </c>
    </row>
    <row r="14" spans="1:24" ht="15" customHeight="1" x14ac:dyDescent="0.25">
      <c r="B14" s="64"/>
      <c r="C14" s="192" t="s">
        <v>28</v>
      </c>
      <c r="D14" s="187" t="s">
        <v>104</v>
      </c>
      <c r="E14" s="188">
        <v>1.9925999999999999E-2</v>
      </c>
      <c r="F14" s="128"/>
      <c r="G14" s="29"/>
      <c r="H14" s="29"/>
      <c r="I14" s="29"/>
      <c r="J14" s="29"/>
      <c r="K14" s="29"/>
      <c r="L14" s="29"/>
      <c r="M14" s="29"/>
      <c r="N14" s="29"/>
      <c r="O14" s="29"/>
      <c r="P14" s="29"/>
      <c r="Q14" s="29"/>
      <c r="R14" s="29"/>
      <c r="S14" s="29"/>
      <c r="T14" s="25"/>
      <c r="W14" s="290" t="s">
        <v>82</v>
      </c>
      <c r="X14" s="289">
        <v>3.7582999999999998E-2</v>
      </c>
    </row>
    <row r="15" spans="1:24" ht="15.75" x14ac:dyDescent="0.25">
      <c r="B15" s="64"/>
      <c r="C15" s="192" t="s">
        <v>30</v>
      </c>
      <c r="D15" s="187" t="s">
        <v>114</v>
      </c>
      <c r="E15" s="188">
        <v>1.9778E-2</v>
      </c>
      <c r="F15" s="128"/>
      <c r="G15" s="29"/>
      <c r="H15" s="29"/>
      <c r="I15" s="29"/>
      <c r="J15" s="29"/>
      <c r="K15" s="29"/>
      <c r="L15" s="29"/>
      <c r="M15" s="29"/>
      <c r="N15" s="29"/>
      <c r="O15" s="29"/>
      <c r="P15" s="29"/>
      <c r="Q15" s="29"/>
      <c r="R15" s="29"/>
      <c r="S15" s="29"/>
      <c r="T15" s="25"/>
      <c r="W15" s="290" t="s">
        <v>179</v>
      </c>
      <c r="X15" s="289">
        <v>3.6685000000000002E-2</v>
      </c>
    </row>
    <row r="16" spans="1:24" ht="15" customHeight="1" x14ac:dyDescent="0.25">
      <c r="B16" s="64"/>
      <c r="C16" s="192" t="s">
        <v>34</v>
      </c>
      <c r="D16" s="187" t="s">
        <v>23</v>
      </c>
      <c r="E16" s="188">
        <v>1.7541999999999999E-2</v>
      </c>
      <c r="F16" s="128"/>
      <c r="G16" s="29"/>
      <c r="H16" s="29"/>
      <c r="I16" s="29"/>
      <c r="J16" s="29"/>
      <c r="K16" s="29"/>
      <c r="L16" s="29"/>
      <c r="M16" s="29"/>
      <c r="N16" s="29"/>
      <c r="O16" s="29"/>
      <c r="P16" s="29"/>
      <c r="Q16" s="29"/>
      <c r="R16" s="29"/>
      <c r="S16" s="29"/>
      <c r="T16" s="25"/>
      <c r="W16" s="290" t="s">
        <v>121</v>
      </c>
      <c r="X16" s="289">
        <v>2.9543999999999997E-2</v>
      </c>
    </row>
    <row r="17" spans="2:24" ht="15.75" x14ac:dyDescent="0.25">
      <c r="B17" s="64"/>
      <c r="C17" s="192" t="s">
        <v>354</v>
      </c>
      <c r="D17" s="187" t="s">
        <v>82</v>
      </c>
      <c r="E17" s="188">
        <v>1.6877E-2</v>
      </c>
      <c r="F17" s="128"/>
      <c r="G17" s="29"/>
      <c r="H17" s="29"/>
      <c r="I17" s="29"/>
      <c r="J17" s="29"/>
      <c r="K17" s="29"/>
      <c r="L17" s="29"/>
      <c r="M17" s="29"/>
      <c r="N17" s="29"/>
      <c r="O17" s="29"/>
      <c r="P17" s="29"/>
      <c r="Q17" s="29"/>
      <c r="R17" s="29"/>
      <c r="S17" s="29"/>
      <c r="T17" s="25"/>
      <c r="W17" s="290" t="s">
        <v>83</v>
      </c>
      <c r="X17" s="289">
        <v>2.8691000000000001E-2</v>
      </c>
    </row>
    <row r="18" spans="2:24" ht="15.75" x14ac:dyDescent="0.25">
      <c r="B18" s="64"/>
      <c r="C18" s="192" t="s">
        <v>31</v>
      </c>
      <c r="D18" s="187" t="s">
        <v>6</v>
      </c>
      <c r="E18" s="188">
        <v>1.6725E-2</v>
      </c>
      <c r="F18" s="128"/>
      <c r="G18" s="29"/>
      <c r="H18" s="29"/>
      <c r="I18" s="29"/>
      <c r="J18" s="29"/>
      <c r="K18" s="29"/>
      <c r="L18" s="29"/>
      <c r="M18" s="29"/>
      <c r="N18" s="29"/>
      <c r="O18" s="29"/>
      <c r="P18" s="29"/>
      <c r="Q18" s="29"/>
      <c r="R18" s="29"/>
      <c r="S18" s="29"/>
      <c r="T18" s="25"/>
      <c r="W18" s="290" t="s">
        <v>107</v>
      </c>
      <c r="X18" s="289">
        <v>2.7262000000000002E-2</v>
      </c>
    </row>
    <row r="19" spans="2:24" ht="15.75" x14ac:dyDescent="0.25">
      <c r="B19" s="64"/>
      <c r="C19" s="192" t="s">
        <v>70</v>
      </c>
      <c r="D19" s="187" t="s">
        <v>12</v>
      </c>
      <c r="E19" s="188">
        <v>1.5363E-2</v>
      </c>
      <c r="F19" s="128"/>
      <c r="G19" s="29"/>
      <c r="H19" s="29"/>
      <c r="I19" s="29"/>
      <c r="J19" s="29"/>
      <c r="K19" s="29"/>
      <c r="L19" s="29"/>
      <c r="M19" s="29"/>
      <c r="N19" s="29"/>
      <c r="O19" s="29"/>
      <c r="P19" s="29"/>
      <c r="Q19" s="29"/>
      <c r="R19" s="29"/>
      <c r="S19" s="29"/>
      <c r="T19" s="25"/>
      <c r="W19" s="290" t="s">
        <v>12</v>
      </c>
      <c r="X19" s="289">
        <v>2.5516E-2</v>
      </c>
    </row>
    <row r="20" spans="2:24" ht="15" customHeight="1" x14ac:dyDescent="0.25">
      <c r="B20" s="64"/>
      <c r="C20" s="192" t="s">
        <v>368</v>
      </c>
      <c r="D20" s="187" t="s">
        <v>110</v>
      </c>
      <c r="E20" s="188">
        <v>1.4884E-2</v>
      </c>
      <c r="F20" s="128"/>
      <c r="G20" s="29"/>
      <c r="H20" s="29"/>
      <c r="I20" s="29"/>
      <c r="J20" s="29"/>
      <c r="K20" s="29"/>
      <c r="L20" s="29"/>
      <c r="M20" s="29"/>
      <c r="N20" s="29"/>
      <c r="O20" s="29"/>
      <c r="P20" s="29"/>
      <c r="Q20" s="29"/>
      <c r="R20" s="29"/>
      <c r="S20" s="29"/>
      <c r="T20" s="25"/>
      <c r="W20" s="290" t="s">
        <v>116</v>
      </c>
      <c r="X20" s="289">
        <v>2.5337000000000002E-2</v>
      </c>
    </row>
    <row r="21" spans="2:24" ht="17.25" customHeight="1" x14ac:dyDescent="0.25">
      <c r="B21" s="64"/>
      <c r="C21" s="192" t="s">
        <v>366</v>
      </c>
      <c r="D21" s="187" t="s">
        <v>120</v>
      </c>
      <c r="E21" s="188">
        <v>1.4845000000000001E-2</v>
      </c>
      <c r="F21" s="128"/>
      <c r="G21" s="29"/>
      <c r="H21" s="29"/>
      <c r="I21" s="29"/>
      <c r="J21" s="29"/>
      <c r="K21" s="29"/>
      <c r="L21" s="29"/>
      <c r="M21" s="29"/>
      <c r="N21" s="29"/>
      <c r="O21" s="29"/>
      <c r="P21" s="29"/>
      <c r="Q21" s="29"/>
      <c r="R21" s="29"/>
      <c r="S21" s="29"/>
      <c r="T21" s="25"/>
      <c r="W21" s="290" t="s">
        <v>10</v>
      </c>
      <c r="X21" s="289">
        <v>2.5252999999999998E-2</v>
      </c>
    </row>
    <row r="22" spans="2:24" ht="15" customHeight="1" x14ac:dyDescent="0.25">
      <c r="B22" s="64"/>
      <c r="C22" s="192" t="s">
        <v>33</v>
      </c>
      <c r="D22" s="187" t="s">
        <v>104</v>
      </c>
      <c r="E22" s="188">
        <v>1.4335000000000001E-2</v>
      </c>
      <c r="F22" s="128"/>
      <c r="G22" s="29"/>
      <c r="H22" s="29"/>
      <c r="I22" s="29"/>
      <c r="J22" s="29"/>
      <c r="K22" s="29"/>
      <c r="L22" s="29"/>
      <c r="M22" s="29"/>
      <c r="N22" s="29"/>
      <c r="O22" s="29"/>
      <c r="P22" s="29"/>
      <c r="Q22" s="29"/>
      <c r="R22" s="29"/>
      <c r="S22" s="29"/>
      <c r="T22" s="25"/>
      <c r="W22" s="290" t="s">
        <v>16</v>
      </c>
      <c r="X22" s="289">
        <v>2.4287E-2</v>
      </c>
    </row>
    <row r="23" spans="2:24" ht="15" customHeight="1" x14ac:dyDescent="0.25">
      <c r="B23" s="64"/>
      <c r="C23" s="82"/>
      <c r="D23" s="82"/>
      <c r="E23" s="83"/>
      <c r="F23" s="128"/>
      <c r="G23" s="29"/>
      <c r="H23" s="29"/>
      <c r="I23" s="29"/>
      <c r="J23" s="29"/>
      <c r="K23" s="29"/>
      <c r="L23" s="29"/>
      <c r="M23" s="29"/>
      <c r="N23" s="29"/>
      <c r="O23" s="29"/>
      <c r="P23" s="29"/>
      <c r="Q23" s="29"/>
      <c r="R23" s="29"/>
      <c r="S23" s="29"/>
      <c r="T23" s="25"/>
      <c r="W23" s="290" t="s">
        <v>6</v>
      </c>
      <c r="X23" s="289">
        <v>2.3269999999999999E-2</v>
      </c>
    </row>
    <row r="24" spans="2:24" ht="15" customHeight="1" x14ac:dyDescent="0.25">
      <c r="B24" s="64"/>
      <c r="C24" s="157" t="s">
        <v>55</v>
      </c>
      <c r="D24" s="158"/>
      <c r="E24" s="159">
        <f>SUM(E8:E22)</f>
        <v>0.323681</v>
      </c>
      <c r="F24" s="29"/>
      <c r="G24" s="29"/>
      <c r="H24" s="29"/>
      <c r="I24" s="29"/>
      <c r="J24" s="29"/>
      <c r="K24" s="29"/>
      <c r="L24" s="29"/>
      <c r="M24" s="29"/>
      <c r="N24" s="29"/>
      <c r="O24" s="29"/>
      <c r="P24" s="29"/>
      <c r="Q24" s="29"/>
      <c r="R24" s="29"/>
      <c r="S24" s="29"/>
      <c r="T24" s="25"/>
      <c r="W24" s="290" t="s">
        <v>23</v>
      </c>
      <c r="X24" s="289">
        <v>2.0797999999999997E-2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290" t="s">
        <v>11</v>
      </c>
      <c r="X25" s="289">
        <v>2.0621999999999998E-2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290" t="s">
        <v>114</v>
      </c>
      <c r="X26" s="289">
        <v>1.9778E-2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290" t="s">
        <v>74</v>
      </c>
      <c r="X27" s="289">
        <v>1.7883E-2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290" t="s">
        <v>103</v>
      </c>
      <c r="X28" s="289">
        <v>1.7033E-2</v>
      </c>
    </row>
    <row r="29" spans="2:24" ht="15" customHeight="1" x14ac:dyDescent="0.25">
      <c r="B29" s="64"/>
      <c r="C29" s="29"/>
      <c r="D29" s="29"/>
      <c r="E29" s="29"/>
      <c r="F29" s="29"/>
      <c r="G29" s="29"/>
      <c r="H29" s="29"/>
      <c r="I29" s="29"/>
      <c r="J29" s="29"/>
      <c r="K29" s="29"/>
      <c r="L29" s="29"/>
      <c r="M29" s="29"/>
      <c r="N29" s="29"/>
      <c r="O29" s="29"/>
      <c r="P29" s="29"/>
      <c r="Q29" s="29"/>
      <c r="R29" s="29"/>
      <c r="S29" s="29"/>
      <c r="T29" s="25"/>
      <c r="W29" s="290" t="s">
        <v>84</v>
      </c>
      <c r="X29" s="289">
        <v>1.6473999999999999E-2</v>
      </c>
    </row>
    <row r="30" spans="2:24" ht="15" customHeight="1" x14ac:dyDescent="0.25">
      <c r="B30" s="64"/>
      <c r="C30" s="29"/>
      <c r="D30" s="29"/>
      <c r="E30" s="29"/>
      <c r="F30" s="29"/>
      <c r="G30" s="29"/>
      <c r="H30" s="29"/>
      <c r="I30" s="29"/>
      <c r="J30" s="29"/>
      <c r="K30" s="29"/>
      <c r="L30" s="29"/>
      <c r="M30" s="29"/>
      <c r="N30" s="29"/>
      <c r="O30" s="29"/>
      <c r="P30" s="29"/>
      <c r="Q30" s="29"/>
      <c r="R30" s="29"/>
      <c r="S30" s="29"/>
      <c r="T30" s="25"/>
      <c r="W30" s="290" t="s">
        <v>120</v>
      </c>
      <c r="X30" s="289">
        <v>1.4845000000000001E-2</v>
      </c>
    </row>
    <row r="31" spans="2:24" ht="15" customHeight="1" x14ac:dyDescent="0.25">
      <c r="B31" s="64"/>
      <c r="C31" s="29"/>
      <c r="D31" s="29"/>
      <c r="E31" s="29"/>
      <c r="F31" s="29"/>
      <c r="G31" s="29"/>
      <c r="H31" s="29"/>
      <c r="I31" s="29"/>
      <c r="J31" s="29"/>
      <c r="K31" s="29"/>
      <c r="L31" s="29"/>
      <c r="M31" s="29"/>
      <c r="N31" s="29"/>
      <c r="O31" s="29"/>
      <c r="P31" s="29"/>
      <c r="Q31" s="29"/>
      <c r="R31" s="29"/>
      <c r="S31" s="29"/>
      <c r="T31" s="25"/>
      <c r="W31" s="290" t="s">
        <v>109</v>
      </c>
      <c r="X31" s="289">
        <v>1.2091999999999999E-2</v>
      </c>
    </row>
    <row r="32" spans="2:24" ht="15" customHeight="1" x14ac:dyDescent="0.25">
      <c r="B32" s="64"/>
      <c r="C32" s="29"/>
      <c r="D32" s="29"/>
      <c r="E32" s="29"/>
      <c r="F32" s="29"/>
      <c r="G32" s="29"/>
      <c r="H32" s="29"/>
      <c r="I32" s="29"/>
      <c r="J32" s="29"/>
      <c r="K32" s="29"/>
      <c r="L32" s="29"/>
      <c r="M32" s="29"/>
      <c r="N32" s="29"/>
      <c r="O32" s="29"/>
      <c r="P32" s="29"/>
      <c r="Q32" s="29"/>
      <c r="R32" s="29"/>
      <c r="S32" s="29"/>
      <c r="T32" s="25"/>
      <c r="W32" s="290" t="s">
        <v>15</v>
      </c>
      <c r="X32" s="289">
        <v>1.1613999999999999E-2</v>
      </c>
    </row>
    <row r="33" spans="2:24" ht="15" customHeight="1" x14ac:dyDescent="0.25">
      <c r="B33" s="64"/>
      <c r="C33" s="29"/>
      <c r="D33" s="29"/>
      <c r="E33" s="29"/>
      <c r="F33" s="29"/>
      <c r="G33" s="29"/>
      <c r="H33" s="29"/>
      <c r="I33" s="29"/>
      <c r="J33" s="29"/>
      <c r="K33" s="29"/>
      <c r="L33" s="29"/>
      <c r="M33" s="29"/>
      <c r="N33" s="29"/>
      <c r="O33" s="29"/>
      <c r="P33" s="29"/>
      <c r="Q33" s="29"/>
      <c r="R33" s="29"/>
      <c r="S33" s="29"/>
      <c r="T33" s="25"/>
      <c r="W33" s="290" t="s">
        <v>24</v>
      </c>
      <c r="X33" s="289">
        <v>1.0819E-2</v>
      </c>
    </row>
    <row r="34" spans="2:24" ht="15" customHeight="1" x14ac:dyDescent="0.25">
      <c r="B34" s="64"/>
      <c r="C34" s="29"/>
      <c r="D34" s="29"/>
      <c r="E34" s="29"/>
      <c r="F34" s="29"/>
      <c r="G34" s="29"/>
      <c r="H34" s="29"/>
      <c r="I34" s="29"/>
      <c r="J34" s="29"/>
      <c r="K34" s="29"/>
      <c r="L34" s="29"/>
      <c r="M34" s="29"/>
      <c r="N34" s="29"/>
      <c r="O34" s="29"/>
      <c r="P34" s="29"/>
      <c r="Q34" s="29"/>
      <c r="R34" s="29"/>
      <c r="S34" s="29"/>
      <c r="T34" s="25"/>
      <c r="W34" s="290" t="s">
        <v>113</v>
      </c>
      <c r="X34" s="289">
        <v>1.0799E-2</v>
      </c>
    </row>
    <row r="35" spans="2:24" ht="15" customHeight="1" x14ac:dyDescent="0.25">
      <c r="B35" s="64"/>
      <c r="C35" s="29"/>
      <c r="D35" s="29"/>
      <c r="E35" s="29"/>
      <c r="F35" s="29"/>
      <c r="G35" s="29"/>
      <c r="H35" s="29"/>
      <c r="I35" s="29"/>
      <c r="J35" s="29"/>
      <c r="K35" s="29"/>
      <c r="L35" s="29"/>
      <c r="M35" s="29"/>
      <c r="N35" s="29"/>
      <c r="O35" s="29"/>
      <c r="P35" s="29"/>
      <c r="Q35" s="29"/>
      <c r="R35" s="29"/>
      <c r="S35" s="29"/>
      <c r="T35" s="25"/>
      <c r="W35" s="290" t="s">
        <v>143</v>
      </c>
      <c r="X35" s="289">
        <v>1.0662E-2</v>
      </c>
    </row>
    <row r="36" spans="2:24" ht="15" customHeight="1" x14ac:dyDescent="0.25">
      <c r="B36" s="64"/>
      <c r="C36" s="29"/>
      <c r="D36" s="29"/>
      <c r="E36" s="29"/>
      <c r="F36" s="29"/>
      <c r="G36" s="29"/>
      <c r="H36" s="29"/>
      <c r="I36" s="29"/>
      <c r="J36" s="29"/>
      <c r="K36" s="29"/>
      <c r="L36" s="29"/>
      <c r="M36" s="29"/>
      <c r="N36" s="29"/>
      <c r="O36" s="29"/>
      <c r="P36" s="29"/>
      <c r="Q36" s="29"/>
      <c r="R36" s="29"/>
      <c r="S36" s="29"/>
      <c r="T36" s="25"/>
      <c r="W36" s="290" t="s">
        <v>111</v>
      </c>
      <c r="X36" s="289">
        <v>9.9240000000000005E-3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290" t="s">
        <v>127</v>
      </c>
      <c r="X37" s="289">
        <v>9.9159999999999995E-3</v>
      </c>
    </row>
    <row r="38" spans="2:24" ht="15" customHeight="1" thickBot="1" x14ac:dyDescent="0.3">
      <c r="B38" s="76"/>
      <c r="C38" s="30"/>
      <c r="D38" s="30"/>
      <c r="E38" s="30"/>
      <c r="F38" s="30"/>
      <c r="G38" s="30"/>
      <c r="H38" s="30"/>
      <c r="I38" s="30"/>
      <c r="J38" s="30"/>
      <c r="K38" s="30"/>
      <c r="L38" s="30"/>
      <c r="M38" s="30"/>
      <c r="N38" s="30"/>
      <c r="O38" s="30"/>
      <c r="P38" s="30"/>
      <c r="Q38" s="30"/>
      <c r="R38" s="30"/>
      <c r="S38" s="30"/>
      <c r="T38" s="26"/>
      <c r="W38" s="290" t="s">
        <v>115</v>
      </c>
      <c r="X38" s="289">
        <v>9.1770000000000011E-3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290" t="s">
        <v>92</v>
      </c>
      <c r="X39" s="289">
        <v>7.9629999999999996E-3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290" t="s">
        <v>119</v>
      </c>
      <c r="X40" s="289">
        <v>7.3109999999999998E-3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290" t="s">
        <v>112</v>
      </c>
      <c r="X41" s="289">
        <v>7.175E-3</v>
      </c>
    </row>
    <row r="42" spans="2:24" ht="15" customHeight="1" x14ac:dyDescent="0.25">
      <c r="B42" s="306" t="s">
        <v>177</v>
      </c>
      <c r="C42" s="307"/>
      <c r="D42" s="307"/>
      <c r="E42" s="307"/>
      <c r="F42" s="307"/>
      <c r="G42" s="307"/>
      <c r="H42" s="307"/>
      <c r="I42" s="307"/>
      <c r="J42" s="307"/>
      <c r="K42" s="307"/>
      <c r="L42" s="307"/>
      <c r="M42" s="307"/>
      <c r="N42" s="307"/>
      <c r="O42" s="307"/>
      <c r="P42" s="307"/>
      <c r="Q42" s="307"/>
      <c r="R42" s="308"/>
      <c r="T42" s="29"/>
      <c r="W42" s="290" t="s">
        <v>128</v>
      </c>
      <c r="X42" s="289">
        <v>5.6420000000000003E-3</v>
      </c>
    </row>
    <row r="43" spans="2:24" ht="15" customHeight="1" x14ac:dyDescent="0.25">
      <c r="B43" s="309"/>
      <c r="C43" s="310"/>
      <c r="D43" s="310"/>
      <c r="E43" s="310"/>
      <c r="F43" s="310"/>
      <c r="G43" s="310"/>
      <c r="H43" s="310"/>
      <c r="I43" s="310"/>
      <c r="J43" s="310"/>
      <c r="K43" s="310"/>
      <c r="L43" s="310"/>
      <c r="M43" s="310"/>
      <c r="N43" s="310"/>
      <c r="O43" s="310"/>
      <c r="P43" s="310"/>
      <c r="Q43" s="310"/>
      <c r="R43" s="311"/>
      <c r="T43" s="29"/>
      <c r="W43" s="290" t="s">
        <v>369</v>
      </c>
      <c r="X43" s="289">
        <v>5.0429999999999997E-3</v>
      </c>
    </row>
    <row r="44" spans="2:24" ht="15" customHeight="1" x14ac:dyDescent="0.25">
      <c r="B44" s="309"/>
      <c r="C44" s="310"/>
      <c r="D44" s="310"/>
      <c r="E44" s="310"/>
      <c r="F44" s="310"/>
      <c r="G44" s="310"/>
      <c r="H44" s="310"/>
      <c r="I44" s="310"/>
      <c r="J44" s="310"/>
      <c r="K44" s="310"/>
      <c r="L44" s="310"/>
      <c r="M44" s="310"/>
      <c r="N44" s="310"/>
      <c r="O44" s="310"/>
      <c r="P44" s="310"/>
      <c r="Q44" s="310"/>
      <c r="R44" s="311"/>
      <c r="T44" s="29"/>
      <c r="W44" s="290" t="s">
        <v>13</v>
      </c>
      <c r="X44" s="289">
        <v>4.3930000000000002E-3</v>
      </c>
    </row>
    <row r="45" spans="2:24" ht="15" customHeight="1" x14ac:dyDescent="0.25">
      <c r="B45" s="309"/>
      <c r="C45" s="310"/>
      <c r="D45" s="310"/>
      <c r="E45" s="310"/>
      <c r="F45" s="310"/>
      <c r="G45" s="310"/>
      <c r="H45" s="310"/>
      <c r="I45" s="310"/>
      <c r="J45" s="310"/>
      <c r="K45" s="310"/>
      <c r="L45" s="310"/>
      <c r="M45" s="310"/>
      <c r="N45" s="310"/>
      <c r="O45" s="310"/>
      <c r="P45" s="310"/>
      <c r="Q45" s="310"/>
      <c r="R45" s="311"/>
      <c r="T45" s="29"/>
      <c r="W45" s="290"/>
      <c r="X45" s="289"/>
    </row>
    <row r="46" spans="2:24" ht="15" customHeight="1" x14ac:dyDescent="0.25">
      <c r="B46" s="309"/>
      <c r="C46" s="310"/>
      <c r="D46" s="310"/>
      <c r="E46" s="310"/>
      <c r="F46" s="310"/>
      <c r="G46" s="310"/>
      <c r="H46" s="310"/>
      <c r="I46" s="310"/>
      <c r="J46" s="310"/>
      <c r="K46" s="310"/>
      <c r="L46" s="310"/>
      <c r="M46" s="310"/>
      <c r="N46" s="310"/>
      <c r="O46" s="310"/>
      <c r="P46" s="310"/>
      <c r="Q46" s="310"/>
      <c r="R46" s="311"/>
      <c r="T46" s="29"/>
      <c r="W46" s="290"/>
      <c r="X46" s="289"/>
    </row>
    <row r="47" spans="2:24" ht="15" customHeight="1" x14ac:dyDescent="0.25">
      <c r="B47" s="309"/>
      <c r="C47" s="310"/>
      <c r="D47" s="310"/>
      <c r="E47" s="310"/>
      <c r="F47" s="310"/>
      <c r="G47" s="310"/>
      <c r="H47" s="310"/>
      <c r="I47" s="310"/>
      <c r="J47" s="310"/>
      <c r="K47" s="310"/>
      <c r="L47" s="310"/>
      <c r="M47" s="310"/>
      <c r="N47" s="310"/>
      <c r="O47" s="310"/>
      <c r="P47" s="310"/>
      <c r="Q47" s="310"/>
      <c r="R47" s="311"/>
      <c r="T47" s="29"/>
      <c r="W47" s="221"/>
      <c r="X47" s="224"/>
    </row>
    <row r="48" spans="2:24" ht="15" customHeight="1" thickBot="1" x14ac:dyDescent="0.3">
      <c r="B48" s="312"/>
      <c r="C48" s="313"/>
      <c r="D48" s="313"/>
      <c r="E48" s="313"/>
      <c r="F48" s="313"/>
      <c r="G48" s="313"/>
      <c r="H48" s="313"/>
      <c r="I48" s="313"/>
      <c r="J48" s="313"/>
      <c r="K48" s="313"/>
      <c r="L48" s="313"/>
      <c r="M48" s="313"/>
      <c r="N48" s="313"/>
      <c r="O48" s="313"/>
      <c r="P48" s="313"/>
      <c r="Q48" s="313"/>
      <c r="R48" s="314"/>
      <c r="T48" s="29"/>
      <c r="X48" s="224"/>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315" t="s">
        <v>167</v>
      </c>
      <c r="D3" s="316"/>
      <c r="E3" s="316"/>
      <c r="F3" s="316"/>
      <c r="G3" s="316"/>
      <c r="H3" s="316"/>
      <c r="I3" s="316"/>
      <c r="J3" s="316"/>
      <c r="K3" s="316"/>
      <c r="L3" s="316"/>
      <c r="M3" s="316"/>
      <c r="N3" s="316"/>
      <c r="O3" s="316"/>
      <c r="P3" s="316"/>
      <c r="Q3" s="316"/>
      <c r="R3" s="316"/>
      <c r="S3" s="316"/>
      <c r="T3" s="25"/>
    </row>
    <row r="4" spans="1:24" ht="15.75" customHeight="1" x14ac:dyDescent="0.25">
      <c r="B4" s="64"/>
      <c r="C4" s="67" t="s">
        <v>430</v>
      </c>
      <c r="D4" s="143"/>
      <c r="E4" s="29"/>
      <c r="F4" s="29"/>
      <c r="G4" s="29"/>
      <c r="H4" s="29"/>
      <c r="I4" s="29"/>
      <c r="J4" s="29"/>
      <c r="K4" s="29"/>
      <c r="L4" s="29"/>
      <c r="M4" s="29"/>
      <c r="N4" s="29"/>
      <c r="O4" s="29"/>
      <c r="P4" s="29"/>
      <c r="Q4" s="29"/>
      <c r="R4" s="29"/>
      <c r="S4" s="29"/>
      <c r="T4" s="25"/>
    </row>
    <row r="5" spans="1:24" ht="18" customHeight="1" x14ac:dyDescent="0.25">
      <c r="B5" s="64"/>
      <c r="C5" s="211" t="s">
        <v>431</v>
      </c>
      <c r="D5" s="317" t="s">
        <v>386</v>
      </c>
      <c r="E5" s="317"/>
      <c r="F5" s="29"/>
      <c r="G5" s="51"/>
      <c r="H5" s="51"/>
      <c r="I5" s="51"/>
      <c r="J5" s="51"/>
      <c r="K5" s="51"/>
      <c r="L5" s="51"/>
      <c r="M5" s="51"/>
      <c r="N5" s="51"/>
      <c r="O5" s="51"/>
      <c r="P5" s="51"/>
      <c r="Q5" s="51"/>
      <c r="R5" s="51"/>
      <c r="S5" s="51"/>
      <c r="T5" s="25"/>
    </row>
    <row r="6" spans="1:24" ht="15" customHeight="1" x14ac:dyDescent="0.25">
      <c r="B6" s="64"/>
      <c r="C6" s="29"/>
      <c r="D6" s="29"/>
      <c r="E6" s="29"/>
      <c r="F6" s="29"/>
      <c r="G6" s="51"/>
      <c r="H6" s="51"/>
      <c r="I6" s="51"/>
      <c r="J6" s="51"/>
      <c r="K6" s="51"/>
      <c r="L6" s="51"/>
      <c r="M6" s="51"/>
      <c r="N6" s="51"/>
      <c r="O6" s="51"/>
      <c r="P6" s="51"/>
      <c r="Q6" s="51"/>
      <c r="R6" s="51"/>
      <c r="S6" s="51"/>
      <c r="T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5"/>
      <c r="W7" s="39" t="s">
        <v>22</v>
      </c>
      <c r="X7" s="39" t="s">
        <v>2</v>
      </c>
    </row>
    <row r="8" spans="1:24" ht="15" customHeight="1" x14ac:dyDescent="0.25">
      <c r="B8" s="64"/>
      <c r="C8" s="191" t="s">
        <v>29</v>
      </c>
      <c r="D8" s="185" t="s">
        <v>3</v>
      </c>
      <c r="E8" s="186">
        <v>9.3400999999999998E-2</v>
      </c>
      <c r="F8" s="29"/>
      <c r="G8" s="29"/>
      <c r="H8" s="29"/>
      <c r="I8" s="29"/>
      <c r="J8" s="29"/>
      <c r="K8" s="29"/>
      <c r="L8" s="29"/>
      <c r="M8" s="29"/>
      <c r="N8" s="29"/>
      <c r="O8" s="29"/>
      <c r="P8" s="29"/>
      <c r="Q8" s="29"/>
      <c r="R8" s="29"/>
      <c r="S8" s="29"/>
      <c r="T8" s="25"/>
      <c r="W8" s="166" t="s">
        <v>3</v>
      </c>
      <c r="X8" s="167">
        <v>0.24223899999999998</v>
      </c>
    </row>
    <row r="9" spans="1:24" ht="15.75" customHeight="1" x14ac:dyDescent="0.25">
      <c r="B9" s="64"/>
      <c r="C9" s="192" t="s">
        <v>32</v>
      </c>
      <c r="D9" s="187" t="s">
        <v>3</v>
      </c>
      <c r="E9" s="188">
        <v>8.0464999999999995E-2</v>
      </c>
      <c r="F9" s="29"/>
      <c r="G9" s="29"/>
      <c r="H9" s="29"/>
      <c r="I9" s="29"/>
      <c r="J9" s="29"/>
      <c r="K9" s="29"/>
      <c r="L9" s="29"/>
      <c r="M9" s="29"/>
      <c r="N9" s="29"/>
      <c r="O9" s="29"/>
      <c r="P9" s="29"/>
      <c r="Q9" s="29"/>
      <c r="R9" s="29"/>
      <c r="S9" s="29"/>
      <c r="T9" s="25"/>
      <c r="W9" s="166" t="s">
        <v>104</v>
      </c>
      <c r="X9" s="167">
        <v>9.2366000000000004E-2</v>
      </c>
    </row>
    <row r="10" spans="1:24" ht="15" customHeight="1" x14ac:dyDescent="0.25">
      <c r="B10" s="64"/>
      <c r="C10" s="192" t="s">
        <v>31</v>
      </c>
      <c r="D10" s="187" t="s">
        <v>6</v>
      </c>
      <c r="E10" s="188">
        <v>7.7143000000000003E-2</v>
      </c>
      <c r="F10" s="29"/>
      <c r="G10" s="29"/>
      <c r="H10" s="29"/>
      <c r="I10" s="29"/>
      <c r="J10" s="29"/>
      <c r="K10" s="29"/>
      <c r="L10" s="29"/>
      <c r="M10" s="29"/>
      <c r="N10" s="29"/>
      <c r="O10" s="29"/>
      <c r="P10" s="29"/>
      <c r="Q10" s="29"/>
      <c r="R10" s="29"/>
      <c r="S10" s="29"/>
      <c r="T10" s="25"/>
      <c r="W10" s="166" t="s">
        <v>6</v>
      </c>
      <c r="X10" s="167">
        <v>7.7143000000000003E-2</v>
      </c>
    </row>
    <row r="11" spans="1:24" ht="15" customHeight="1" x14ac:dyDescent="0.25">
      <c r="B11" s="64"/>
      <c r="C11" s="192" t="s">
        <v>36</v>
      </c>
      <c r="D11" s="187" t="s">
        <v>3</v>
      </c>
      <c r="E11" s="188">
        <v>4.5760000000000002E-2</v>
      </c>
      <c r="F11" s="29"/>
      <c r="G11" s="29"/>
      <c r="H11" s="29"/>
      <c r="I11" s="29"/>
      <c r="J11" s="29"/>
      <c r="K11" s="29"/>
      <c r="L11" s="29"/>
      <c r="M11" s="29"/>
      <c r="N11" s="29"/>
      <c r="O11" s="29"/>
      <c r="P11" s="29"/>
      <c r="Q11" s="29"/>
      <c r="R11" s="29"/>
      <c r="S11" s="29"/>
      <c r="T11" s="25"/>
      <c r="W11" s="166" t="s">
        <v>108</v>
      </c>
      <c r="X11" s="167">
        <v>5.3805000000000006E-2</v>
      </c>
    </row>
    <row r="12" spans="1:24" ht="15" customHeight="1" x14ac:dyDescent="0.25">
      <c r="B12" s="64"/>
      <c r="C12" s="192" t="s">
        <v>33</v>
      </c>
      <c r="D12" s="187" t="s">
        <v>104</v>
      </c>
      <c r="E12" s="188">
        <v>3.9009000000000002E-2</v>
      </c>
      <c r="F12" s="29"/>
      <c r="G12" s="29"/>
      <c r="H12" s="29"/>
      <c r="I12" s="29"/>
      <c r="J12" s="29"/>
      <c r="K12" s="29"/>
      <c r="L12" s="29"/>
      <c r="M12" s="29"/>
      <c r="N12" s="29"/>
      <c r="O12" s="29"/>
      <c r="P12" s="29"/>
      <c r="Q12" s="29"/>
      <c r="R12" s="29"/>
      <c r="S12" s="29"/>
      <c r="T12" s="25"/>
      <c r="W12" s="166" t="s">
        <v>26</v>
      </c>
      <c r="X12" s="167">
        <v>4.8795999999999992E-2</v>
      </c>
    </row>
    <row r="13" spans="1:24" ht="15" customHeight="1" x14ac:dyDescent="0.25">
      <c r="B13" s="64"/>
      <c r="C13" s="192" t="s">
        <v>62</v>
      </c>
      <c r="D13" s="187" t="s">
        <v>10</v>
      </c>
      <c r="E13" s="188">
        <v>3.2148999999999997E-2</v>
      </c>
      <c r="F13" s="29"/>
      <c r="G13" s="29"/>
      <c r="H13" s="29"/>
      <c r="I13" s="29"/>
      <c r="J13" s="29"/>
      <c r="K13" s="29"/>
      <c r="L13" s="29"/>
      <c r="M13" s="29"/>
      <c r="N13" s="29"/>
      <c r="O13" s="29"/>
      <c r="P13" s="29"/>
      <c r="Q13" s="29"/>
      <c r="R13" s="29"/>
      <c r="S13" s="29"/>
      <c r="T13" s="25"/>
      <c r="W13" s="166" t="s">
        <v>10</v>
      </c>
      <c r="X13" s="167">
        <v>4.6319999999999993E-2</v>
      </c>
    </row>
    <row r="14" spans="1:24" ht="15" customHeight="1" x14ac:dyDescent="0.25">
      <c r="B14" s="64"/>
      <c r="C14" s="192" t="s">
        <v>28</v>
      </c>
      <c r="D14" s="187" t="s">
        <v>104</v>
      </c>
      <c r="E14" s="188">
        <v>3.0450999999999999E-2</v>
      </c>
      <c r="F14" s="29"/>
      <c r="G14" s="29"/>
      <c r="H14" s="29"/>
      <c r="I14" s="29"/>
      <c r="J14" s="29"/>
      <c r="K14" s="29"/>
      <c r="L14" s="29"/>
      <c r="M14" s="29"/>
      <c r="N14" s="29"/>
      <c r="O14" s="29"/>
      <c r="P14" s="29"/>
      <c r="Q14" s="29"/>
      <c r="R14" s="29"/>
      <c r="S14" s="29"/>
      <c r="T14" s="25"/>
      <c r="W14" s="166" t="s">
        <v>4</v>
      </c>
      <c r="X14" s="167">
        <v>4.4935000000000003E-2</v>
      </c>
    </row>
    <row r="15" spans="1:24" ht="15" customHeight="1" x14ac:dyDescent="0.25">
      <c r="B15" s="64"/>
      <c r="C15" s="192" t="s">
        <v>117</v>
      </c>
      <c r="D15" s="187" t="s">
        <v>109</v>
      </c>
      <c r="E15" s="188">
        <v>2.6917E-2</v>
      </c>
      <c r="F15" s="29"/>
      <c r="G15" s="29"/>
      <c r="H15" s="29"/>
      <c r="I15" s="29"/>
      <c r="J15" s="29"/>
      <c r="K15" s="29"/>
      <c r="L15" s="29"/>
      <c r="M15" s="29"/>
      <c r="N15" s="29"/>
      <c r="O15" s="29"/>
      <c r="P15" s="29"/>
      <c r="Q15" s="29"/>
      <c r="R15" s="29"/>
      <c r="S15" s="29"/>
      <c r="T15" s="25"/>
      <c r="W15" s="166" t="s">
        <v>109</v>
      </c>
      <c r="X15" s="167">
        <v>4.4040999999999997E-2</v>
      </c>
    </row>
    <row r="16" spans="1:24" ht="15" customHeight="1" x14ac:dyDescent="0.25">
      <c r="B16" s="64"/>
      <c r="C16" s="192" t="s">
        <v>189</v>
      </c>
      <c r="D16" s="187" t="s">
        <v>103</v>
      </c>
      <c r="E16" s="188">
        <v>2.6882E-2</v>
      </c>
      <c r="F16" s="29"/>
      <c r="G16" s="29"/>
      <c r="H16" s="29"/>
      <c r="I16" s="29"/>
      <c r="J16" s="29"/>
      <c r="K16" s="29"/>
      <c r="L16" s="29"/>
      <c r="M16" s="29"/>
      <c r="N16" s="29"/>
      <c r="O16" s="29"/>
      <c r="P16" s="29"/>
      <c r="Q16" s="29"/>
      <c r="R16" s="29"/>
      <c r="S16" s="29"/>
      <c r="T16" s="25"/>
      <c r="W16" s="166" t="s">
        <v>110</v>
      </c>
      <c r="X16" s="167">
        <v>2.9363E-2</v>
      </c>
    </row>
    <row r="17" spans="2:24" ht="15" customHeight="1" x14ac:dyDescent="0.25">
      <c r="B17" s="64"/>
      <c r="C17" s="192" t="s">
        <v>242</v>
      </c>
      <c r="D17" s="187" t="s">
        <v>108</v>
      </c>
      <c r="E17" s="188">
        <v>2.6317E-2</v>
      </c>
      <c r="F17" s="29"/>
      <c r="G17" s="29"/>
      <c r="H17" s="29"/>
      <c r="I17" s="29"/>
      <c r="J17" s="29"/>
      <c r="K17" s="29"/>
      <c r="L17" s="29"/>
      <c r="M17" s="29"/>
      <c r="N17" s="29"/>
      <c r="O17" s="29"/>
      <c r="P17" s="29"/>
      <c r="Q17" s="29"/>
      <c r="R17" s="29"/>
      <c r="S17" s="29"/>
      <c r="T17" s="25"/>
      <c r="W17" s="166" t="s">
        <v>103</v>
      </c>
      <c r="X17" s="167">
        <v>2.6882E-2</v>
      </c>
    </row>
    <row r="18" spans="2:24" ht="15" customHeight="1" x14ac:dyDescent="0.25">
      <c r="B18" s="64"/>
      <c r="C18" s="192" t="s">
        <v>367</v>
      </c>
      <c r="D18" s="187" t="s">
        <v>26</v>
      </c>
      <c r="E18" s="188">
        <v>2.6246999999999999E-2</v>
      </c>
      <c r="F18" s="29"/>
      <c r="G18" s="29"/>
      <c r="H18" s="29"/>
      <c r="I18" s="29"/>
      <c r="J18" s="29"/>
      <c r="K18" s="29"/>
      <c r="L18" s="29"/>
      <c r="M18" s="29"/>
      <c r="N18" s="29"/>
      <c r="O18" s="29"/>
      <c r="P18" s="29"/>
      <c r="Q18" s="29"/>
      <c r="R18" s="29"/>
      <c r="S18" s="29"/>
      <c r="T18" s="25"/>
      <c r="W18" s="166" t="s">
        <v>80</v>
      </c>
      <c r="X18" s="167">
        <v>2.6362E-2</v>
      </c>
    </row>
    <row r="19" spans="2:24" ht="15" customHeight="1" x14ac:dyDescent="0.25">
      <c r="B19" s="64"/>
      <c r="C19" s="192" t="s">
        <v>70</v>
      </c>
      <c r="D19" s="187" t="s">
        <v>12</v>
      </c>
      <c r="E19" s="188">
        <v>2.6030999999999999E-2</v>
      </c>
      <c r="F19" s="29"/>
      <c r="G19" s="29"/>
      <c r="H19" s="29"/>
      <c r="I19" s="29"/>
      <c r="J19" s="29"/>
      <c r="K19" s="29"/>
      <c r="L19" s="29"/>
      <c r="M19" s="29"/>
      <c r="N19" s="29"/>
      <c r="O19" s="29"/>
      <c r="P19" s="29"/>
      <c r="Q19" s="29"/>
      <c r="R19" s="29"/>
      <c r="S19" s="29"/>
      <c r="T19" s="25"/>
      <c r="W19" s="166" t="s">
        <v>116</v>
      </c>
      <c r="X19" s="167">
        <v>2.6091999999999997E-2</v>
      </c>
    </row>
    <row r="20" spans="2:24" ht="15" customHeight="1" x14ac:dyDescent="0.25">
      <c r="B20" s="64"/>
      <c r="C20" s="192" t="s">
        <v>239</v>
      </c>
      <c r="D20" s="187" t="s">
        <v>4</v>
      </c>
      <c r="E20" s="188">
        <v>2.444E-2</v>
      </c>
      <c r="F20" s="29"/>
      <c r="G20" s="29"/>
      <c r="H20" s="29"/>
      <c r="I20" s="29"/>
      <c r="J20" s="29"/>
      <c r="K20" s="29"/>
      <c r="L20" s="29"/>
      <c r="M20" s="29"/>
      <c r="N20" s="29"/>
      <c r="O20" s="29"/>
      <c r="P20" s="29"/>
      <c r="Q20" s="29"/>
      <c r="R20" s="29"/>
      <c r="S20" s="29"/>
      <c r="T20" s="25"/>
      <c r="W20" s="166" t="s">
        <v>12</v>
      </c>
      <c r="X20" s="167">
        <v>2.6030999999999999E-2</v>
      </c>
    </row>
    <row r="21" spans="2:24" ht="15" customHeight="1" x14ac:dyDescent="0.25">
      <c r="B21" s="64"/>
      <c r="C21" s="192" t="s">
        <v>30</v>
      </c>
      <c r="D21" s="187" t="s">
        <v>114</v>
      </c>
      <c r="E21" s="188">
        <v>2.3677E-2</v>
      </c>
      <c r="F21" s="29"/>
      <c r="G21" s="29"/>
      <c r="H21" s="29"/>
      <c r="I21" s="29"/>
      <c r="J21" s="29"/>
      <c r="K21" s="29"/>
      <c r="L21" s="29"/>
      <c r="M21" s="29"/>
      <c r="N21" s="29"/>
      <c r="O21" s="29"/>
      <c r="P21" s="29"/>
      <c r="Q21" s="29"/>
      <c r="R21" s="29"/>
      <c r="S21" s="29"/>
      <c r="T21" s="25"/>
      <c r="W21" s="166" t="s">
        <v>16</v>
      </c>
      <c r="X21" s="167">
        <v>2.4826999999999998E-2</v>
      </c>
    </row>
    <row r="22" spans="2:24" ht="15" customHeight="1" x14ac:dyDescent="0.25">
      <c r="B22" s="64"/>
      <c r="C22" s="192" t="s">
        <v>34</v>
      </c>
      <c r="D22" s="187" t="s">
        <v>23</v>
      </c>
      <c r="E22" s="188">
        <v>2.2998999999999999E-2</v>
      </c>
      <c r="F22" s="29"/>
      <c r="G22" s="29"/>
      <c r="H22" s="29"/>
      <c r="I22" s="29"/>
      <c r="J22" s="29"/>
      <c r="K22" s="29"/>
      <c r="L22" s="29"/>
      <c r="M22" s="29"/>
      <c r="N22" s="29"/>
      <c r="O22" s="29"/>
      <c r="P22" s="29"/>
      <c r="Q22" s="29"/>
      <c r="R22" s="29"/>
      <c r="S22" s="29"/>
      <c r="T22" s="25"/>
      <c r="W22" s="166" t="s">
        <v>114</v>
      </c>
      <c r="X22" s="167">
        <v>2.3677E-2</v>
      </c>
    </row>
    <row r="23" spans="2:24" ht="15" customHeight="1" x14ac:dyDescent="0.25">
      <c r="B23" s="64"/>
      <c r="C23" s="71"/>
      <c r="D23" s="71"/>
      <c r="E23" s="72"/>
      <c r="F23" s="29"/>
      <c r="G23" s="29"/>
      <c r="H23" s="29"/>
      <c r="I23" s="29"/>
      <c r="J23" s="29"/>
      <c r="K23" s="29"/>
      <c r="L23" s="29"/>
      <c r="M23" s="29"/>
      <c r="N23" s="29"/>
      <c r="O23" s="29"/>
      <c r="P23" s="29"/>
      <c r="Q23" s="29"/>
      <c r="R23" s="29"/>
      <c r="S23" s="29"/>
      <c r="T23" s="25"/>
      <c r="W23" s="166" t="s">
        <v>23</v>
      </c>
      <c r="X23" s="167">
        <v>2.2998999999999999E-2</v>
      </c>
    </row>
    <row r="24" spans="2:24" ht="15" customHeight="1" x14ac:dyDescent="0.25">
      <c r="B24" s="64"/>
      <c r="C24" s="73" t="s">
        <v>55</v>
      </c>
      <c r="D24" s="74"/>
      <c r="E24" s="75">
        <f>SUM(E8:E23)</f>
        <v>0.60188799999999998</v>
      </c>
      <c r="F24" s="29"/>
      <c r="G24" s="29"/>
      <c r="H24" s="29"/>
      <c r="I24" s="29"/>
      <c r="J24" s="29"/>
      <c r="K24" s="29"/>
      <c r="L24" s="29"/>
      <c r="M24" s="29"/>
      <c r="N24" s="29"/>
      <c r="O24" s="29"/>
      <c r="P24" s="29"/>
      <c r="Q24" s="29"/>
      <c r="R24" s="29"/>
      <c r="S24" s="29"/>
      <c r="T24" s="25"/>
      <c r="W24" s="166" t="s">
        <v>83</v>
      </c>
      <c r="X24" s="167">
        <v>2.1905000000000001E-2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166" t="s">
        <v>179</v>
      </c>
      <c r="X25" s="167">
        <v>2.1458000000000001E-2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166" t="s">
        <v>107</v>
      </c>
      <c r="X26" s="167">
        <v>1.5205E-2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166" t="s">
        <v>121</v>
      </c>
      <c r="X27" s="167">
        <v>1.4836E-2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166" t="s">
        <v>82</v>
      </c>
      <c r="X28" s="167">
        <v>1.3545000000000001E-2</v>
      </c>
    </row>
    <row r="29" spans="2:24" ht="15" customHeight="1" x14ac:dyDescent="0.25">
      <c r="B29" s="64"/>
      <c r="C29" s="29"/>
      <c r="D29" s="29"/>
      <c r="E29" s="29"/>
      <c r="F29" s="29"/>
      <c r="G29" s="29"/>
      <c r="H29" s="29"/>
      <c r="I29" s="29"/>
      <c r="J29" s="29"/>
      <c r="K29" s="29"/>
      <c r="L29" s="29"/>
      <c r="M29" s="29"/>
      <c r="N29" s="29"/>
      <c r="O29" s="29"/>
      <c r="P29" s="29"/>
      <c r="Q29" s="29"/>
      <c r="R29" s="29"/>
      <c r="S29" s="29"/>
      <c r="T29" s="25"/>
      <c r="W29" s="166" t="s">
        <v>11</v>
      </c>
      <c r="X29" s="167">
        <v>1.1246000000000001E-2</v>
      </c>
    </row>
    <row r="30" spans="2:24" ht="15" customHeight="1" x14ac:dyDescent="0.25">
      <c r="B30" s="64"/>
      <c r="C30" s="29"/>
      <c r="D30" s="29"/>
      <c r="E30" s="29"/>
      <c r="F30" s="29"/>
      <c r="G30" s="29"/>
      <c r="H30" s="29"/>
      <c r="I30" s="29"/>
      <c r="J30" s="29"/>
      <c r="K30" s="29"/>
      <c r="L30" s="29"/>
      <c r="M30" s="29"/>
      <c r="N30" s="29"/>
      <c r="O30" s="29"/>
      <c r="P30" s="29"/>
      <c r="Q30" s="29"/>
      <c r="R30" s="29"/>
      <c r="S30" s="29"/>
      <c r="T30" s="25"/>
      <c r="W30" s="166" t="s">
        <v>74</v>
      </c>
      <c r="X30" s="167">
        <v>9.0779999999999993E-3</v>
      </c>
    </row>
    <row r="31" spans="2:24" ht="15" customHeight="1" x14ac:dyDescent="0.25">
      <c r="B31" s="64"/>
      <c r="C31" s="29"/>
      <c r="D31" s="29"/>
      <c r="E31" s="29"/>
      <c r="F31" s="29"/>
      <c r="G31" s="29"/>
      <c r="H31" s="29"/>
      <c r="I31" s="29"/>
      <c r="J31" s="29"/>
      <c r="K31" s="29"/>
      <c r="L31" s="29"/>
      <c r="M31" s="29"/>
      <c r="N31" s="29"/>
      <c r="O31" s="29"/>
      <c r="P31" s="29"/>
      <c r="Q31" s="29"/>
      <c r="R31" s="29"/>
      <c r="S31" s="29"/>
      <c r="T31" s="25"/>
      <c r="W31" s="166" t="s">
        <v>130</v>
      </c>
      <c r="X31" s="167">
        <v>8.2070000000000008E-3</v>
      </c>
    </row>
    <row r="32" spans="2:24" ht="15" customHeight="1" x14ac:dyDescent="0.25">
      <c r="B32" s="64"/>
      <c r="C32" s="29"/>
      <c r="D32" s="29"/>
      <c r="E32" s="29"/>
      <c r="F32" s="29"/>
      <c r="G32" s="29"/>
      <c r="H32" s="29"/>
      <c r="I32" s="29"/>
      <c r="J32" s="29"/>
      <c r="K32" s="29"/>
      <c r="L32" s="29"/>
      <c r="M32" s="29"/>
      <c r="N32" s="29"/>
      <c r="O32" s="29"/>
      <c r="P32" s="29"/>
      <c r="Q32" s="29"/>
      <c r="R32" s="29"/>
      <c r="S32" s="29"/>
      <c r="T32" s="25"/>
      <c r="W32" s="166" t="s">
        <v>113</v>
      </c>
      <c r="X32" s="167">
        <v>6.0350000000000004E-3</v>
      </c>
    </row>
    <row r="33" spans="2:24" ht="15" customHeight="1" x14ac:dyDescent="0.25">
      <c r="B33" s="64"/>
      <c r="C33" s="29"/>
      <c r="D33" s="29"/>
      <c r="E33" s="29"/>
      <c r="F33" s="29"/>
      <c r="G33" s="29"/>
      <c r="H33" s="29"/>
      <c r="I33" s="29"/>
      <c r="J33" s="29"/>
      <c r="K33" s="29"/>
      <c r="L33" s="29"/>
      <c r="M33" s="29"/>
      <c r="N33" s="29"/>
      <c r="O33" s="29"/>
      <c r="P33" s="29"/>
      <c r="Q33" s="29"/>
      <c r="R33" s="29"/>
      <c r="S33" s="29"/>
      <c r="T33" s="25"/>
      <c r="W33" s="166" t="s">
        <v>81</v>
      </c>
      <c r="X33" s="167">
        <v>4.8609999999999999E-3</v>
      </c>
    </row>
    <row r="34" spans="2:24" ht="15" customHeight="1" x14ac:dyDescent="0.25">
      <c r="B34" s="64"/>
      <c r="C34" s="29"/>
      <c r="D34" s="29"/>
      <c r="E34" s="29"/>
      <c r="F34" s="29"/>
      <c r="G34" s="29"/>
      <c r="H34" s="29"/>
      <c r="I34" s="29"/>
      <c r="J34" s="29"/>
      <c r="K34" s="29"/>
      <c r="L34" s="29"/>
      <c r="M34" s="29"/>
      <c r="N34" s="29"/>
      <c r="O34" s="29"/>
      <c r="P34" s="29"/>
      <c r="Q34" s="29"/>
      <c r="R34" s="29"/>
      <c r="S34" s="29"/>
      <c r="T34" s="25"/>
      <c r="W34" s="166" t="s">
        <v>84</v>
      </c>
      <c r="X34" s="167">
        <v>4.0530000000000002E-3</v>
      </c>
    </row>
    <row r="35" spans="2:24" ht="15" customHeight="1" x14ac:dyDescent="0.25">
      <c r="B35" s="64"/>
      <c r="C35" s="29"/>
      <c r="D35" s="29"/>
      <c r="E35" s="29"/>
      <c r="F35" s="29"/>
      <c r="G35" s="29"/>
      <c r="H35" s="29"/>
      <c r="I35" s="29"/>
      <c r="J35" s="29"/>
      <c r="K35" s="29"/>
      <c r="L35" s="29"/>
      <c r="M35" s="29"/>
      <c r="N35" s="29"/>
      <c r="O35" s="29"/>
      <c r="P35" s="29"/>
      <c r="Q35" s="29"/>
      <c r="R35" s="29"/>
      <c r="S35" s="29"/>
      <c r="T35" s="25"/>
      <c r="W35" s="166" t="s">
        <v>111</v>
      </c>
      <c r="X35" s="167">
        <v>1.5839999999999999E-3</v>
      </c>
    </row>
    <row r="36" spans="2:24" ht="15" customHeight="1" x14ac:dyDescent="0.25">
      <c r="B36" s="64"/>
      <c r="C36" s="29"/>
      <c r="D36" s="29"/>
      <c r="E36" s="29"/>
      <c r="F36" s="29"/>
      <c r="G36" s="29"/>
      <c r="H36" s="29"/>
      <c r="I36" s="29"/>
      <c r="J36" s="29"/>
      <c r="K36" s="29"/>
      <c r="L36" s="29"/>
      <c r="M36" s="29"/>
      <c r="N36" s="29"/>
      <c r="O36" s="29"/>
      <c r="P36" s="29"/>
      <c r="Q36" s="29"/>
      <c r="R36" s="29"/>
      <c r="S36" s="29"/>
      <c r="T36" s="25"/>
      <c r="W36" s="166" t="s">
        <v>223</v>
      </c>
      <c r="X36" s="167">
        <v>1.3339999999999999E-3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166" t="s">
        <v>111</v>
      </c>
      <c r="X37" s="167">
        <v>9.0600000000000001E-4</v>
      </c>
    </row>
    <row r="38" spans="2:24" ht="15" hidden="1" customHeight="1" x14ac:dyDescent="0.25">
      <c r="B38" s="64"/>
      <c r="C38" s="29"/>
      <c r="D38" s="29"/>
      <c r="E38" s="29"/>
      <c r="F38" s="29"/>
      <c r="G38" s="29"/>
      <c r="H38" s="29"/>
      <c r="I38" s="29"/>
      <c r="J38" s="29"/>
      <c r="K38" s="29"/>
      <c r="L38" s="29"/>
      <c r="M38" s="29"/>
      <c r="N38" s="29"/>
      <c r="O38" s="29"/>
      <c r="P38" s="29"/>
      <c r="Q38" s="29"/>
      <c r="R38" s="29"/>
      <c r="S38" s="29"/>
      <c r="T38" s="25"/>
    </row>
    <row r="39" spans="2:24" ht="15" hidden="1" customHeight="1" x14ac:dyDescent="0.25">
      <c r="B39" s="64"/>
      <c r="C39" s="29"/>
      <c r="D39" s="29"/>
      <c r="E39" s="29"/>
      <c r="F39" s="29"/>
      <c r="G39" s="29"/>
      <c r="H39" s="29"/>
      <c r="I39" s="29"/>
      <c r="J39" s="29"/>
      <c r="K39" s="29"/>
      <c r="L39" s="29"/>
      <c r="M39" s="29"/>
      <c r="N39" s="29"/>
      <c r="O39" s="29"/>
      <c r="P39" s="29"/>
      <c r="Q39" s="29"/>
      <c r="R39" s="29"/>
      <c r="S39" s="29"/>
      <c r="T39" s="25"/>
    </row>
    <row r="40" spans="2:24" ht="15" hidden="1" customHeight="1" x14ac:dyDescent="0.25">
      <c r="B40" s="64"/>
      <c r="C40" s="29"/>
      <c r="D40" s="29"/>
      <c r="E40" s="29"/>
      <c r="F40" s="29"/>
      <c r="G40" s="29"/>
      <c r="H40" s="29"/>
      <c r="I40" s="29"/>
      <c r="J40" s="29"/>
      <c r="K40" s="29"/>
      <c r="L40" s="29"/>
      <c r="M40" s="29"/>
      <c r="N40" s="29"/>
      <c r="O40" s="29"/>
      <c r="P40" s="29"/>
      <c r="Q40" s="29"/>
      <c r="R40" s="29"/>
      <c r="S40" s="29"/>
      <c r="T40" s="25"/>
    </row>
    <row r="41" spans="2:24" ht="15" hidden="1" customHeight="1" x14ac:dyDescent="0.25">
      <c r="B41" s="64"/>
      <c r="C41" s="29"/>
      <c r="D41" s="29"/>
      <c r="E41" s="29"/>
      <c r="F41" s="29"/>
      <c r="G41" s="29"/>
      <c r="H41" s="29"/>
      <c r="I41" s="29"/>
      <c r="J41" s="29"/>
      <c r="K41" s="29"/>
      <c r="L41" s="29"/>
      <c r="M41" s="29"/>
      <c r="N41" s="29"/>
      <c r="O41" s="29"/>
      <c r="P41" s="29"/>
      <c r="Q41" s="29"/>
      <c r="R41" s="29"/>
      <c r="S41" s="29"/>
      <c r="T41" s="25"/>
    </row>
    <row r="42" spans="2:24" ht="15" hidden="1" customHeight="1" x14ac:dyDescent="0.25">
      <c r="B42" s="64"/>
      <c r="C42" s="29"/>
      <c r="D42" s="29"/>
      <c r="E42" s="29"/>
      <c r="F42" s="29"/>
      <c r="G42" s="29"/>
      <c r="H42" s="29"/>
      <c r="I42" s="29"/>
      <c r="J42" s="29"/>
      <c r="K42" s="29"/>
      <c r="L42" s="29"/>
      <c r="M42" s="29"/>
      <c r="N42" s="29"/>
      <c r="O42" s="29"/>
      <c r="P42" s="29"/>
      <c r="Q42" s="29"/>
      <c r="R42" s="29"/>
      <c r="S42" s="29"/>
      <c r="T42" s="25"/>
    </row>
    <row r="43" spans="2:24" ht="15" hidden="1" customHeight="1" x14ac:dyDescent="0.25">
      <c r="B43" s="64"/>
      <c r="C43" s="29"/>
      <c r="D43" s="29"/>
      <c r="E43" s="29"/>
      <c r="F43" s="29"/>
      <c r="G43" s="29"/>
      <c r="H43" s="29"/>
      <c r="I43" s="29"/>
      <c r="J43" s="29"/>
      <c r="K43" s="29"/>
      <c r="L43" s="29"/>
      <c r="M43" s="29"/>
      <c r="N43" s="29"/>
      <c r="O43" s="29"/>
      <c r="P43" s="29"/>
      <c r="Q43" s="29"/>
      <c r="R43" s="29"/>
      <c r="S43" s="29"/>
      <c r="T43" s="25"/>
    </row>
    <row r="44" spans="2:24" ht="15" hidden="1" customHeight="1" x14ac:dyDescent="0.25">
      <c r="B44" s="64"/>
      <c r="C44" s="29"/>
      <c r="D44" s="29"/>
      <c r="E44" s="29"/>
      <c r="F44" s="29"/>
      <c r="G44" s="29"/>
      <c r="H44" s="29"/>
      <c r="I44" s="29"/>
      <c r="J44" s="29"/>
      <c r="K44" s="29"/>
      <c r="L44" s="29"/>
      <c r="M44" s="29"/>
      <c r="N44" s="29"/>
      <c r="O44" s="29"/>
      <c r="P44" s="29"/>
      <c r="Q44" s="29"/>
      <c r="R44" s="29"/>
      <c r="S44" s="29"/>
      <c r="T44" s="25"/>
    </row>
    <row r="45" spans="2:24" ht="15" hidden="1" customHeight="1" x14ac:dyDescent="0.25">
      <c r="B45" s="64"/>
      <c r="C45" s="29"/>
      <c r="D45" s="29"/>
      <c r="E45" s="29"/>
      <c r="F45" s="29"/>
      <c r="G45" s="29"/>
      <c r="H45" s="29"/>
      <c r="I45" s="29"/>
      <c r="J45" s="29"/>
      <c r="K45" s="29"/>
      <c r="L45" s="29"/>
      <c r="M45" s="29"/>
      <c r="N45" s="29"/>
      <c r="O45" s="29"/>
      <c r="P45" s="29"/>
      <c r="Q45" s="29"/>
      <c r="R45" s="29"/>
      <c r="S45" s="29"/>
      <c r="T45" s="25"/>
    </row>
    <row r="46" spans="2:24" ht="15" hidden="1" customHeight="1" x14ac:dyDescent="0.25">
      <c r="B46" s="64"/>
      <c r="C46" s="29"/>
      <c r="D46" s="29"/>
      <c r="E46" s="29"/>
      <c r="F46" s="29"/>
      <c r="G46" s="29"/>
      <c r="H46" s="29"/>
      <c r="I46" s="29"/>
      <c r="J46" s="29"/>
      <c r="K46" s="29"/>
      <c r="L46" s="29"/>
      <c r="M46" s="29"/>
      <c r="N46" s="29"/>
      <c r="O46" s="29"/>
      <c r="P46" s="29"/>
      <c r="Q46" s="29"/>
      <c r="R46" s="29"/>
      <c r="S46" s="29"/>
      <c r="T46" s="25"/>
    </row>
    <row r="47" spans="2:24" ht="15" customHeight="1" thickBot="1" x14ac:dyDescent="0.3">
      <c r="B47" s="76"/>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306" t="s">
        <v>177</v>
      </c>
      <c r="C49" s="307"/>
      <c r="D49" s="307"/>
      <c r="E49" s="307"/>
      <c r="F49" s="307"/>
      <c r="G49" s="307"/>
      <c r="H49" s="307"/>
      <c r="I49" s="307"/>
      <c r="J49" s="307"/>
      <c r="K49" s="307"/>
      <c r="L49" s="307"/>
      <c r="M49" s="307"/>
      <c r="N49" s="307"/>
      <c r="O49" s="307"/>
      <c r="P49" s="307"/>
      <c r="Q49" s="307"/>
      <c r="R49" s="308"/>
    </row>
    <row r="50" spans="2:18" ht="15" customHeight="1" x14ac:dyDescent="0.25">
      <c r="B50" s="309"/>
      <c r="C50" s="310"/>
      <c r="D50" s="310"/>
      <c r="E50" s="310"/>
      <c r="F50" s="310"/>
      <c r="G50" s="310"/>
      <c r="H50" s="310"/>
      <c r="I50" s="310"/>
      <c r="J50" s="310"/>
      <c r="K50" s="310"/>
      <c r="L50" s="310"/>
      <c r="M50" s="310"/>
      <c r="N50" s="310"/>
      <c r="O50" s="310"/>
      <c r="P50" s="310"/>
      <c r="Q50" s="310"/>
      <c r="R50" s="311"/>
    </row>
    <row r="51" spans="2:18" ht="15" customHeight="1" x14ac:dyDescent="0.25">
      <c r="B51" s="309"/>
      <c r="C51" s="310"/>
      <c r="D51" s="310"/>
      <c r="E51" s="310"/>
      <c r="F51" s="310"/>
      <c r="G51" s="310"/>
      <c r="H51" s="310"/>
      <c r="I51" s="310"/>
      <c r="J51" s="310"/>
      <c r="K51" s="310"/>
      <c r="L51" s="310"/>
      <c r="M51" s="310"/>
      <c r="N51" s="310"/>
      <c r="O51" s="310"/>
      <c r="P51" s="310"/>
      <c r="Q51" s="310"/>
      <c r="R51" s="311"/>
    </row>
    <row r="52" spans="2:18" ht="15" customHeight="1" x14ac:dyDescent="0.25">
      <c r="B52" s="309"/>
      <c r="C52" s="310"/>
      <c r="D52" s="310"/>
      <c r="E52" s="310"/>
      <c r="F52" s="310"/>
      <c r="G52" s="310"/>
      <c r="H52" s="310"/>
      <c r="I52" s="310"/>
      <c r="J52" s="310"/>
      <c r="K52" s="310"/>
      <c r="L52" s="310"/>
      <c r="M52" s="310"/>
      <c r="N52" s="310"/>
      <c r="O52" s="310"/>
      <c r="P52" s="310"/>
      <c r="Q52" s="310"/>
      <c r="R52" s="311"/>
    </row>
    <row r="53" spans="2:18" ht="15" customHeight="1" x14ac:dyDescent="0.25">
      <c r="B53" s="309"/>
      <c r="C53" s="310"/>
      <c r="D53" s="310"/>
      <c r="E53" s="310"/>
      <c r="F53" s="310"/>
      <c r="G53" s="310"/>
      <c r="H53" s="310"/>
      <c r="I53" s="310"/>
      <c r="J53" s="310"/>
      <c r="K53" s="310"/>
      <c r="L53" s="310"/>
      <c r="M53" s="310"/>
      <c r="N53" s="310"/>
      <c r="O53" s="310"/>
      <c r="P53" s="310"/>
      <c r="Q53" s="310"/>
      <c r="R53" s="311"/>
    </row>
    <row r="54" spans="2:18" ht="15" customHeight="1" x14ac:dyDescent="0.25">
      <c r="B54" s="309"/>
      <c r="C54" s="310"/>
      <c r="D54" s="310"/>
      <c r="E54" s="310"/>
      <c r="F54" s="310"/>
      <c r="G54" s="310"/>
      <c r="H54" s="310"/>
      <c r="I54" s="310"/>
      <c r="J54" s="310"/>
      <c r="K54" s="310"/>
      <c r="L54" s="310"/>
      <c r="M54" s="310"/>
      <c r="N54" s="310"/>
      <c r="O54" s="310"/>
      <c r="P54" s="310"/>
      <c r="Q54" s="310"/>
      <c r="R54" s="311"/>
    </row>
    <row r="55" spans="2:18" ht="15" customHeight="1" thickBot="1" x14ac:dyDescent="0.3">
      <c r="B55" s="312"/>
      <c r="C55" s="313"/>
      <c r="D55" s="313"/>
      <c r="E55" s="313"/>
      <c r="F55" s="313"/>
      <c r="G55" s="313"/>
      <c r="H55" s="313"/>
      <c r="I55" s="313"/>
      <c r="J55" s="313"/>
      <c r="K55" s="313"/>
      <c r="L55" s="313"/>
      <c r="M55" s="313"/>
      <c r="N55" s="313"/>
      <c r="O55" s="313"/>
      <c r="P55" s="313"/>
      <c r="Q55" s="313"/>
      <c r="R55" s="314"/>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5" t="s">
        <v>166</v>
      </c>
      <c r="D3" s="316"/>
      <c r="E3" s="316"/>
      <c r="F3" s="316"/>
      <c r="G3" s="316"/>
      <c r="H3" s="316"/>
      <c r="I3" s="316"/>
      <c r="J3" s="316"/>
      <c r="K3" s="316"/>
      <c r="L3" s="316"/>
      <c r="M3" s="316"/>
      <c r="N3" s="316"/>
      <c r="O3" s="316"/>
      <c r="P3" s="316"/>
      <c r="Q3" s="316"/>
      <c r="R3" s="316"/>
      <c r="S3" s="316"/>
      <c r="T3" s="22"/>
    </row>
    <row r="4" spans="1:24" ht="15.75" customHeight="1" x14ac:dyDescent="0.25">
      <c r="B4" s="79"/>
      <c r="C4" s="67" t="s">
        <v>430</v>
      </c>
      <c r="D4" s="29"/>
      <c r="E4" s="29"/>
      <c r="F4" s="29"/>
      <c r="G4" s="29"/>
      <c r="H4" s="29"/>
      <c r="I4" s="29"/>
      <c r="J4" s="29"/>
      <c r="K4" s="29"/>
      <c r="L4" s="29"/>
      <c r="M4" s="29"/>
      <c r="N4" s="29"/>
      <c r="O4" s="29"/>
      <c r="P4" s="29"/>
      <c r="Q4" s="29"/>
      <c r="R4" s="29"/>
      <c r="S4" s="29"/>
      <c r="T4" s="22"/>
    </row>
    <row r="5" spans="1:24" ht="18" customHeight="1" x14ac:dyDescent="0.25">
      <c r="B5" s="79"/>
      <c r="C5" s="211" t="s">
        <v>431</v>
      </c>
      <c r="D5" s="317" t="s">
        <v>387</v>
      </c>
      <c r="E5" s="317"/>
      <c r="F5" s="29"/>
      <c r="G5" s="14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48" t="s">
        <v>2</v>
      </c>
    </row>
    <row r="8" spans="1:24" ht="15" customHeight="1" x14ac:dyDescent="0.25">
      <c r="B8" s="79"/>
      <c r="C8" s="184" t="s">
        <v>29</v>
      </c>
      <c r="D8" s="185" t="s">
        <v>3</v>
      </c>
      <c r="E8" s="186">
        <v>7.2066000000000005E-2</v>
      </c>
      <c r="F8" s="29"/>
      <c r="G8" s="29"/>
      <c r="H8" s="29"/>
      <c r="I8" s="29"/>
      <c r="J8" s="29"/>
      <c r="K8" s="29"/>
      <c r="L8" s="29"/>
      <c r="M8" s="29"/>
      <c r="N8" s="29"/>
      <c r="O8" s="29"/>
      <c r="P8" s="29"/>
      <c r="Q8" s="29"/>
      <c r="R8" s="29"/>
      <c r="S8" s="29"/>
      <c r="T8" s="22"/>
      <c r="W8" s="166" t="s">
        <v>3</v>
      </c>
      <c r="X8" s="167">
        <v>0.140402</v>
      </c>
    </row>
    <row r="9" spans="1:24" ht="15.75" customHeight="1" x14ac:dyDescent="0.25">
      <c r="B9" s="79"/>
      <c r="C9" s="180" t="s">
        <v>73</v>
      </c>
      <c r="D9" s="187" t="s">
        <v>4</v>
      </c>
      <c r="E9" s="188">
        <v>6.7541000000000004E-2</v>
      </c>
      <c r="F9" s="29"/>
      <c r="G9" s="29"/>
      <c r="H9" s="29"/>
      <c r="I9" s="29"/>
      <c r="J9" s="29"/>
      <c r="K9" s="29"/>
      <c r="L9" s="29"/>
      <c r="M9" s="29"/>
      <c r="N9" s="29"/>
      <c r="O9" s="29"/>
      <c r="P9" s="29"/>
      <c r="Q9" s="29"/>
      <c r="R9" s="29"/>
      <c r="S9" s="29"/>
      <c r="T9" s="22"/>
      <c r="W9" s="166" t="s">
        <v>4</v>
      </c>
      <c r="X9" s="167">
        <v>9.9314000000000013E-2</v>
      </c>
    </row>
    <row r="10" spans="1:24" ht="15" customHeight="1" x14ac:dyDescent="0.25">
      <c r="B10" s="79"/>
      <c r="C10" s="180" t="s">
        <v>206</v>
      </c>
      <c r="D10" s="187" t="s">
        <v>110</v>
      </c>
      <c r="E10" s="188">
        <v>6.5872E-2</v>
      </c>
      <c r="F10" s="29"/>
      <c r="G10" s="29"/>
      <c r="H10" s="29"/>
      <c r="I10" s="29"/>
      <c r="J10" s="29"/>
      <c r="K10" s="29"/>
      <c r="L10" s="29"/>
      <c r="M10" s="29"/>
      <c r="N10" s="29"/>
      <c r="O10" s="29"/>
      <c r="P10" s="29"/>
      <c r="Q10" s="29"/>
      <c r="R10" s="29"/>
      <c r="S10" s="29"/>
      <c r="T10" s="22"/>
      <c r="W10" s="166" t="s">
        <v>110</v>
      </c>
      <c r="X10" s="167">
        <v>9.4330999999999998E-2</v>
      </c>
    </row>
    <row r="11" spans="1:24" ht="15" customHeight="1" x14ac:dyDescent="0.25">
      <c r="B11" s="79"/>
      <c r="C11" s="180" t="s">
        <v>32</v>
      </c>
      <c r="D11" s="187" t="s">
        <v>3</v>
      </c>
      <c r="E11" s="188">
        <v>5.8229000000000003E-2</v>
      </c>
      <c r="F11" s="29"/>
      <c r="G11" s="29"/>
      <c r="H11" s="29"/>
      <c r="I11" s="29"/>
      <c r="J11" s="29"/>
      <c r="K11" s="29"/>
      <c r="L11" s="29"/>
      <c r="M11" s="29"/>
      <c r="N11" s="29"/>
      <c r="O11" s="29"/>
      <c r="P11" s="29"/>
      <c r="Q11" s="29"/>
      <c r="R11" s="29"/>
      <c r="S11" s="29"/>
      <c r="T11" s="22"/>
      <c r="W11" s="166" t="s">
        <v>108</v>
      </c>
      <c r="X11" s="167">
        <v>7.3151999999999995E-2</v>
      </c>
    </row>
    <row r="12" spans="1:24" ht="15" customHeight="1" x14ac:dyDescent="0.25">
      <c r="B12" s="79"/>
      <c r="C12" s="180" t="s">
        <v>31</v>
      </c>
      <c r="D12" s="187" t="s">
        <v>6</v>
      </c>
      <c r="E12" s="188">
        <v>4.3801E-2</v>
      </c>
      <c r="F12" s="29"/>
      <c r="G12" s="29"/>
      <c r="H12" s="29"/>
      <c r="I12" s="29"/>
      <c r="J12" s="29"/>
      <c r="K12" s="29"/>
      <c r="L12" s="29"/>
      <c r="M12" s="29"/>
      <c r="N12" s="29"/>
      <c r="O12" s="29"/>
      <c r="P12" s="29"/>
      <c r="Q12" s="29"/>
      <c r="R12" s="29"/>
      <c r="S12" s="29"/>
      <c r="T12" s="22"/>
      <c r="W12" s="166" t="s">
        <v>179</v>
      </c>
      <c r="X12" s="167">
        <v>6.5294000000000005E-2</v>
      </c>
    </row>
    <row r="13" spans="1:24" ht="15" customHeight="1" x14ac:dyDescent="0.25">
      <c r="B13" s="79"/>
      <c r="C13" s="180" t="s">
        <v>258</v>
      </c>
      <c r="D13" s="187" t="s">
        <v>179</v>
      </c>
      <c r="E13" s="188">
        <v>4.1664E-2</v>
      </c>
      <c r="F13" s="29"/>
      <c r="G13" s="29"/>
      <c r="H13" s="29"/>
      <c r="I13" s="29"/>
      <c r="J13" s="29"/>
      <c r="K13" s="29"/>
      <c r="L13" s="29"/>
      <c r="M13" s="29"/>
      <c r="N13" s="29"/>
      <c r="O13" s="29"/>
      <c r="P13" s="29"/>
      <c r="Q13" s="29"/>
      <c r="R13" s="29"/>
      <c r="S13" s="29"/>
      <c r="T13" s="22"/>
      <c r="W13" s="166" t="s">
        <v>104</v>
      </c>
      <c r="X13" s="167">
        <v>6.3119000000000008E-2</v>
      </c>
    </row>
    <row r="14" spans="1:24" ht="15" customHeight="1" x14ac:dyDescent="0.25">
      <c r="B14" s="79"/>
      <c r="C14" s="180" t="s">
        <v>70</v>
      </c>
      <c r="D14" s="187" t="s">
        <v>12</v>
      </c>
      <c r="E14" s="188">
        <v>3.8358999999999997E-2</v>
      </c>
      <c r="F14" s="29"/>
      <c r="G14" s="29"/>
      <c r="H14" s="29"/>
      <c r="I14" s="29"/>
      <c r="J14" s="29"/>
      <c r="K14" s="29"/>
      <c r="L14" s="29"/>
      <c r="M14" s="29"/>
      <c r="N14" s="29"/>
      <c r="O14" s="29"/>
      <c r="P14" s="29"/>
      <c r="Q14" s="29"/>
      <c r="R14" s="29"/>
      <c r="S14" s="29"/>
      <c r="T14" s="22"/>
      <c r="W14" s="166" t="s">
        <v>6</v>
      </c>
      <c r="X14" s="167">
        <v>4.3801E-2</v>
      </c>
    </row>
    <row r="15" spans="1:24" ht="15" customHeight="1" x14ac:dyDescent="0.25">
      <c r="B15" s="79"/>
      <c r="C15" s="180" t="s">
        <v>34</v>
      </c>
      <c r="D15" s="187" t="s">
        <v>23</v>
      </c>
      <c r="E15" s="188">
        <v>3.8205999999999997E-2</v>
      </c>
      <c r="F15" s="29"/>
      <c r="G15" s="29"/>
      <c r="H15" s="29"/>
      <c r="I15" s="29"/>
      <c r="J15" s="29"/>
      <c r="K15" s="29"/>
      <c r="L15" s="29"/>
      <c r="M15" s="29"/>
      <c r="N15" s="29"/>
      <c r="O15" s="29"/>
      <c r="P15" s="29"/>
      <c r="Q15" s="29"/>
      <c r="R15" s="29"/>
      <c r="S15" s="29"/>
      <c r="T15" s="22"/>
      <c r="W15" s="166" t="s">
        <v>12</v>
      </c>
      <c r="X15" s="167">
        <v>3.8358999999999997E-2</v>
      </c>
    </row>
    <row r="16" spans="1:24" ht="15" customHeight="1" x14ac:dyDescent="0.25">
      <c r="B16" s="79"/>
      <c r="C16" s="180" t="s">
        <v>28</v>
      </c>
      <c r="D16" s="187" t="s">
        <v>104</v>
      </c>
      <c r="E16" s="188">
        <v>3.7418E-2</v>
      </c>
      <c r="F16" s="29"/>
      <c r="G16" s="29"/>
      <c r="H16" s="29"/>
      <c r="I16" s="29"/>
      <c r="J16" s="29"/>
      <c r="K16" s="29"/>
      <c r="L16" s="29"/>
      <c r="M16" s="29"/>
      <c r="N16" s="29"/>
      <c r="O16" s="29"/>
      <c r="P16" s="29"/>
      <c r="Q16" s="29"/>
      <c r="R16" s="29"/>
      <c r="S16" s="29"/>
      <c r="T16" s="22"/>
      <c r="W16" s="166" t="s">
        <v>23</v>
      </c>
      <c r="X16" s="167">
        <v>3.8205999999999997E-2</v>
      </c>
    </row>
    <row r="17" spans="2:24" ht="15" customHeight="1" x14ac:dyDescent="0.25">
      <c r="B17" s="79"/>
      <c r="C17" s="180" t="s">
        <v>354</v>
      </c>
      <c r="D17" s="187" t="s">
        <v>82</v>
      </c>
      <c r="E17" s="188">
        <v>3.5496E-2</v>
      </c>
      <c r="F17" s="29"/>
      <c r="G17" s="29"/>
      <c r="H17" s="29"/>
      <c r="I17" s="29"/>
      <c r="J17" s="29"/>
      <c r="K17" s="29"/>
      <c r="L17" s="29"/>
      <c r="M17" s="29"/>
      <c r="N17" s="29"/>
      <c r="O17" s="29"/>
      <c r="P17" s="29"/>
      <c r="Q17" s="29"/>
      <c r="R17" s="29"/>
      <c r="S17" s="29"/>
      <c r="T17" s="22"/>
      <c r="W17" s="166" t="s">
        <v>26</v>
      </c>
      <c r="X17" s="167">
        <v>3.7400000000000003E-2</v>
      </c>
    </row>
    <row r="18" spans="2:24" ht="15" customHeight="1" x14ac:dyDescent="0.25">
      <c r="B18" s="79"/>
      <c r="C18" s="180" t="s">
        <v>202</v>
      </c>
      <c r="D18" s="187" t="s">
        <v>108</v>
      </c>
      <c r="E18" s="188">
        <v>3.3456E-2</v>
      </c>
      <c r="F18" s="29"/>
      <c r="G18" s="29"/>
      <c r="H18" s="29"/>
      <c r="I18" s="29"/>
      <c r="J18" s="29"/>
      <c r="K18" s="29"/>
      <c r="L18" s="29"/>
      <c r="M18" s="29"/>
      <c r="N18" s="29"/>
      <c r="O18" s="29"/>
      <c r="P18" s="29"/>
      <c r="Q18" s="29"/>
      <c r="R18" s="29"/>
      <c r="S18" s="29"/>
      <c r="T18" s="22"/>
      <c r="W18" s="166" t="s">
        <v>10</v>
      </c>
      <c r="X18" s="167">
        <v>3.6584999999999999E-2</v>
      </c>
    </row>
    <row r="19" spans="2:24" ht="15" customHeight="1" x14ac:dyDescent="0.25">
      <c r="B19" s="79"/>
      <c r="C19" s="180" t="s">
        <v>182</v>
      </c>
      <c r="D19" s="187" t="s">
        <v>4</v>
      </c>
      <c r="E19" s="188">
        <v>3.1773000000000003E-2</v>
      </c>
      <c r="F19" s="29"/>
      <c r="G19" s="29"/>
      <c r="H19" s="29"/>
      <c r="I19" s="29"/>
      <c r="J19" s="29"/>
      <c r="K19" s="29"/>
      <c r="L19" s="29"/>
      <c r="M19" s="29"/>
      <c r="N19" s="29"/>
      <c r="O19" s="29"/>
      <c r="P19" s="29"/>
      <c r="Q19" s="29"/>
      <c r="R19" s="29"/>
      <c r="S19" s="29"/>
      <c r="T19" s="22"/>
      <c r="W19" s="166" t="s">
        <v>82</v>
      </c>
      <c r="X19" s="167">
        <v>3.5496E-2</v>
      </c>
    </row>
    <row r="20" spans="2:24" ht="15" customHeight="1" x14ac:dyDescent="0.25">
      <c r="B20" s="79"/>
      <c r="C20" s="180" t="s">
        <v>189</v>
      </c>
      <c r="D20" s="187" t="s">
        <v>103</v>
      </c>
      <c r="E20" s="188">
        <v>2.9333000000000001E-2</v>
      </c>
      <c r="F20" s="29"/>
      <c r="G20" s="29"/>
      <c r="H20" s="29"/>
      <c r="I20" s="29"/>
      <c r="J20" s="29"/>
      <c r="K20" s="29"/>
      <c r="L20" s="29"/>
      <c r="M20" s="29"/>
      <c r="N20" s="29"/>
      <c r="O20" s="29"/>
      <c r="P20" s="29"/>
      <c r="Q20" s="29"/>
      <c r="R20" s="29"/>
      <c r="S20" s="29"/>
      <c r="T20" s="22"/>
      <c r="W20" s="166" t="s">
        <v>103</v>
      </c>
      <c r="X20" s="167">
        <v>2.9333000000000001E-2</v>
      </c>
    </row>
    <row r="21" spans="2:24" ht="15" customHeight="1" x14ac:dyDescent="0.25">
      <c r="B21" s="79"/>
      <c r="C21" s="180" t="s">
        <v>368</v>
      </c>
      <c r="D21" s="187" t="s">
        <v>110</v>
      </c>
      <c r="E21" s="188">
        <v>2.8459000000000002E-2</v>
      </c>
      <c r="F21" s="29"/>
      <c r="G21" s="29"/>
      <c r="H21" s="29"/>
      <c r="I21" s="29"/>
      <c r="J21" s="29"/>
      <c r="K21" s="29"/>
      <c r="L21" s="29"/>
      <c r="M21" s="29"/>
      <c r="N21" s="29"/>
      <c r="O21" s="29"/>
      <c r="P21" s="29"/>
      <c r="Q21" s="29"/>
      <c r="R21" s="29"/>
      <c r="S21" s="29"/>
      <c r="T21" s="22"/>
      <c r="W21" s="166" t="s">
        <v>114</v>
      </c>
      <c r="X21" s="167">
        <v>2.7281E-2</v>
      </c>
    </row>
    <row r="22" spans="2:24" ht="15" customHeight="1" x14ac:dyDescent="0.25">
      <c r="B22" s="79"/>
      <c r="C22" s="180" t="s">
        <v>62</v>
      </c>
      <c r="D22" s="187" t="s">
        <v>10</v>
      </c>
      <c r="E22" s="188">
        <v>2.8053999999999999E-2</v>
      </c>
      <c r="F22" s="29"/>
      <c r="G22" s="29"/>
      <c r="H22" s="29"/>
      <c r="I22" s="29"/>
      <c r="J22" s="29"/>
      <c r="K22" s="29"/>
      <c r="L22" s="29"/>
      <c r="M22" s="29"/>
      <c r="N22" s="29"/>
      <c r="O22" s="29"/>
      <c r="P22" s="29"/>
      <c r="Q22" s="29"/>
      <c r="R22" s="29"/>
      <c r="S22" s="29"/>
      <c r="T22" s="22"/>
      <c r="W22" s="166" t="s">
        <v>113</v>
      </c>
      <c r="X22" s="167">
        <v>1.8103000000000001E-2</v>
      </c>
    </row>
    <row r="23" spans="2:24" ht="15" customHeight="1" x14ac:dyDescent="0.25">
      <c r="B23" s="79"/>
      <c r="C23" s="71"/>
      <c r="D23" s="150"/>
      <c r="E23" s="72"/>
      <c r="F23" s="29"/>
      <c r="G23" s="29"/>
      <c r="H23" s="29"/>
      <c r="I23" s="29"/>
      <c r="J23" s="29"/>
      <c r="K23" s="29"/>
      <c r="L23" s="29"/>
      <c r="M23" s="29"/>
      <c r="N23" s="29"/>
      <c r="O23" s="29"/>
      <c r="P23" s="29"/>
      <c r="Q23" s="29"/>
      <c r="R23" s="29"/>
      <c r="S23" s="29"/>
      <c r="T23" s="22"/>
      <c r="W23" s="166" t="s">
        <v>223</v>
      </c>
      <c r="X23" s="167">
        <v>1.4164E-2</v>
      </c>
    </row>
    <row r="24" spans="2:24" ht="15" customHeight="1" x14ac:dyDescent="0.25">
      <c r="B24" s="79"/>
      <c r="C24" s="73" t="s">
        <v>55</v>
      </c>
      <c r="D24" s="74"/>
      <c r="E24" s="75">
        <f>SUM(E8:E22)</f>
        <v>0.64972700000000017</v>
      </c>
      <c r="F24" s="29"/>
      <c r="G24" s="29"/>
      <c r="H24" s="29"/>
      <c r="I24" s="29"/>
      <c r="J24" s="29"/>
      <c r="K24" s="29"/>
      <c r="L24" s="29"/>
      <c r="M24" s="29"/>
      <c r="N24" s="29"/>
      <c r="O24" s="29"/>
      <c r="P24" s="29"/>
      <c r="Q24" s="29"/>
      <c r="R24" s="29"/>
      <c r="S24" s="29"/>
      <c r="T24" s="22"/>
      <c r="W24" s="166" t="s">
        <v>127</v>
      </c>
      <c r="X24" s="167">
        <v>1.0338999999999999E-2</v>
      </c>
    </row>
    <row r="25" spans="2:24" ht="15" customHeight="1" x14ac:dyDescent="0.25">
      <c r="B25" s="79"/>
      <c r="F25" s="29"/>
      <c r="G25" s="29"/>
      <c r="H25" s="29"/>
      <c r="I25" s="29"/>
      <c r="J25" s="29"/>
      <c r="K25" s="29"/>
      <c r="L25" s="29"/>
      <c r="M25" s="29"/>
      <c r="N25" s="29"/>
      <c r="O25" s="29"/>
      <c r="P25" s="29"/>
      <c r="Q25" s="29"/>
      <c r="R25" s="29"/>
      <c r="S25" s="29"/>
      <c r="T25" s="22"/>
      <c r="W25" s="166" t="s">
        <v>111</v>
      </c>
      <c r="X25" s="167">
        <v>9.4719999999999995E-3</v>
      </c>
    </row>
    <row r="26" spans="2:24" ht="15" customHeight="1" x14ac:dyDescent="0.25">
      <c r="B26" s="79"/>
      <c r="F26" s="29"/>
      <c r="G26" s="29"/>
      <c r="H26" s="29"/>
      <c r="I26" s="29"/>
      <c r="J26" s="29"/>
      <c r="K26" s="29"/>
      <c r="L26" s="29"/>
      <c r="M26" s="29"/>
      <c r="N26" s="29"/>
      <c r="O26" s="29"/>
      <c r="P26" s="29"/>
      <c r="Q26" s="29"/>
      <c r="R26" s="29"/>
      <c r="S26" s="29"/>
      <c r="T26" s="22"/>
      <c r="W26" s="166"/>
      <c r="X26" s="167"/>
    </row>
    <row r="27" spans="2:24" ht="15" customHeight="1" x14ac:dyDescent="0.25">
      <c r="B27" s="79"/>
      <c r="F27" s="29"/>
      <c r="G27" s="29"/>
      <c r="H27" s="29"/>
      <c r="I27" s="29"/>
      <c r="J27" s="29"/>
      <c r="K27" s="29"/>
      <c r="L27" s="29"/>
      <c r="M27" s="29"/>
      <c r="N27" s="29"/>
      <c r="O27" s="29"/>
      <c r="P27" s="29"/>
      <c r="Q27" s="29"/>
      <c r="R27" s="29"/>
      <c r="S27" s="29"/>
      <c r="T27" s="22"/>
      <c r="W27" s="166"/>
      <c r="X27" s="167"/>
    </row>
    <row r="28" spans="2:24" ht="15" customHeight="1" x14ac:dyDescent="0.25">
      <c r="B28" s="79"/>
      <c r="F28" s="29"/>
      <c r="G28" s="29"/>
      <c r="H28" s="29"/>
      <c r="I28" s="29"/>
      <c r="J28" s="29"/>
      <c r="K28" s="29"/>
      <c r="L28" s="29"/>
      <c r="M28" s="29"/>
      <c r="N28" s="29"/>
      <c r="O28" s="29"/>
      <c r="P28" s="29"/>
      <c r="Q28" s="29"/>
      <c r="R28" s="29"/>
      <c r="S28" s="29"/>
      <c r="T28" s="22"/>
      <c r="W28" s="166"/>
      <c r="X28" s="167"/>
    </row>
    <row r="29" spans="2:24" ht="15" customHeight="1" x14ac:dyDescent="0.25">
      <c r="B29" s="79"/>
      <c r="F29" s="29"/>
      <c r="G29" s="29"/>
      <c r="H29" s="29"/>
      <c r="I29" s="29"/>
      <c r="J29" s="29"/>
      <c r="K29" s="29"/>
      <c r="L29" s="29"/>
      <c r="M29" s="29"/>
      <c r="N29" s="29"/>
      <c r="O29" s="29"/>
      <c r="P29" s="29"/>
      <c r="Q29" s="29"/>
      <c r="R29" s="29"/>
      <c r="S29" s="29"/>
      <c r="T29" s="22"/>
      <c r="W29" s="166"/>
      <c r="X29" s="167"/>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 customHeight="1" x14ac:dyDescent="0.25">
      <c r="B32" s="79"/>
      <c r="F32" s="29"/>
      <c r="G32" s="29"/>
      <c r="H32" s="29"/>
      <c r="I32" s="29"/>
      <c r="J32" s="29"/>
      <c r="K32" s="29"/>
      <c r="L32" s="29"/>
      <c r="M32" s="29"/>
      <c r="N32" s="29"/>
      <c r="O32" s="29"/>
      <c r="P32" s="29"/>
      <c r="Q32" s="29"/>
      <c r="R32" s="29"/>
      <c r="S32" s="29"/>
      <c r="T32" s="22"/>
    </row>
    <row r="33" spans="2:20" ht="15.75" customHeight="1" x14ac:dyDescent="0.25">
      <c r="B33" s="79"/>
      <c r="F33" s="29"/>
      <c r="G33" s="29"/>
      <c r="H33" s="29"/>
      <c r="I33" s="29"/>
      <c r="J33" s="29"/>
      <c r="K33" s="29"/>
      <c r="L33" s="29"/>
      <c r="M33" s="29"/>
      <c r="N33" s="29"/>
      <c r="O33" s="29"/>
      <c r="P33" s="29"/>
      <c r="Q33" s="29"/>
      <c r="R33" s="29"/>
      <c r="S33" s="29"/>
      <c r="T33" s="22"/>
    </row>
    <row r="34" spans="2:20" ht="15.75" customHeight="1" x14ac:dyDescent="0.25">
      <c r="B34" s="79"/>
      <c r="F34" s="29"/>
      <c r="G34" s="29"/>
      <c r="H34" s="29"/>
      <c r="I34" s="29"/>
      <c r="J34" s="29"/>
      <c r="K34" s="29"/>
      <c r="L34" s="29"/>
      <c r="M34" s="29"/>
      <c r="N34" s="29"/>
      <c r="O34" s="29"/>
      <c r="P34" s="29"/>
      <c r="Q34" s="29"/>
      <c r="R34" s="29"/>
      <c r="S34" s="29"/>
      <c r="T34" s="22"/>
    </row>
    <row r="35" spans="2:20" ht="15.75" customHeight="1" x14ac:dyDescent="0.25">
      <c r="B35" s="79"/>
      <c r="F35" s="29"/>
      <c r="G35" s="29"/>
      <c r="H35" s="29"/>
      <c r="I35" s="29"/>
      <c r="J35" s="29"/>
      <c r="K35" s="29"/>
      <c r="L35" s="29"/>
      <c r="M35" s="29"/>
      <c r="N35" s="29"/>
      <c r="O35" s="29"/>
      <c r="P35" s="29"/>
      <c r="Q35" s="29"/>
      <c r="R35" s="29"/>
      <c r="S35" s="29"/>
      <c r="T35" s="22"/>
    </row>
    <row r="36" spans="2:20" ht="15" customHeight="1" thickBot="1" x14ac:dyDescent="0.3">
      <c r="B36" s="80"/>
      <c r="C36" s="81"/>
      <c r="D36" s="81"/>
      <c r="E36" s="81"/>
      <c r="F36" s="81"/>
      <c r="G36" s="81"/>
      <c r="H36" s="81"/>
      <c r="I36" s="81"/>
      <c r="J36" s="81"/>
      <c r="K36" s="81"/>
      <c r="L36" s="81"/>
      <c r="M36" s="81"/>
      <c r="N36" s="81"/>
      <c r="O36" s="81"/>
      <c r="P36" s="81"/>
      <c r="Q36" s="81"/>
      <c r="R36" s="81"/>
      <c r="S36" s="81"/>
      <c r="T36" s="23"/>
    </row>
    <row r="37" spans="2:20" ht="15" customHeight="1" thickBot="1" x14ac:dyDescent="0.3"/>
    <row r="38" spans="2:20" ht="15" customHeight="1" x14ac:dyDescent="0.25">
      <c r="B38" s="306" t="s">
        <v>177</v>
      </c>
      <c r="C38" s="307"/>
      <c r="D38" s="307"/>
      <c r="E38" s="307"/>
      <c r="F38" s="307"/>
      <c r="G38" s="307"/>
      <c r="H38" s="307"/>
      <c r="I38" s="307"/>
      <c r="J38" s="307"/>
      <c r="K38" s="307"/>
      <c r="L38" s="307"/>
      <c r="M38" s="307"/>
      <c r="N38" s="307"/>
      <c r="O38" s="307"/>
      <c r="P38" s="307"/>
      <c r="Q38" s="307"/>
      <c r="R38" s="308"/>
    </row>
    <row r="39" spans="2:20" ht="15" customHeight="1" x14ac:dyDescent="0.25">
      <c r="B39" s="309"/>
      <c r="C39" s="310"/>
      <c r="D39" s="310"/>
      <c r="E39" s="310"/>
      <c r="F39" s="310"/>
      <c r="G39" s="310"/>
      <c r="H39" s="310"/>
      <c r="I39" s="310"/>
      <c r="J39" s="310"/>
      <c r="K39" s="310"/>
      <c r="L39" s="310"/>
      <c r="M39" s="310"/>
      <c r="N39" s="310"/>
      <c r="O39" s="310"/>
      <c r="P39" s="310"/>
      <c r="Q39" s="310"/>
      <c r="R39" s="311"/>
    </row>
    <row r="40" spans="2:20" ht="15" customHeight="1" x14ac:dyDescent="0.25">
      <c r="B40" s="309"/>
      <c r="C40" s="310"/>
      <c r="D40" s="310"/>
      <c r="E40" s="310"/>
      <c r="F40" s="310"/>
      <c r="G40" s="310"/>
      <c r="H40" s="310"/>
      <c r="I40" s="310"/>
      <c r="J40" s="310"/>
      <c r="K40" s="310"/>
      <c r="L40" s="310"/>
      <c r="M40" s="310"/>
      <c r="N40" s="310"/>
      <c r="O40" s="310"/>
      <c r="P40" s="310"/>
      <c r="Q40" s="310"/>
      <c r="R40" s="311"/>
    </row>
    <row r="41" spans="2:20" ht="15" customHeight="1" x14ac:dyDescent="0.25">
      <c r="B41" s="309"/>
      <c r="C41" s="310"/>
      <c r="D41" s="310"/>
      <c r="E41" s="310"/>
      <c r="F41" s="310"/>
      <c r="G41" s="310"/>
      <c r="H41" s="310"/>
      <c r="I41" s="310"/>
      <c r="J41" s="310"/>
      <c r="K41" s="310"/>
      <c r="L41" s="310"/>
      <c r="M41" s="310"/>
      <c r="N41" s="310"/>
      <c r="O41" s="310"/>
      <c r="P41" s="310"/>
      <c r="Q41" s="310"/>
      <c r="R41" s="311"/>
    </row>
    <row r="42" spans="2:20" ht="15" customHeight="1" x14ac:dyDescent="0.25">
      <c r="B42" s="309"/>
      <c r="C42" s="310"/>
      <c r="D42" s="310"/>
      <c r="E42" s="310"/>
      <c r="F42" s="310"/>
      <c r="G42" s="310"/>
      <c r="H42" s="310"/>
      <c r="I42" s="310"/>
      <c r="J42" s="310"/>
      <c r="K42" s="310"/>
      <c r="L42" s="310"/>
      <c r="M42" s="310"/>
      <c r="N42" s="310"/>
      <c r="O42" s="310"/>
      <c r="P42" s="310"/>
      <c r="Q42" s="310"/>
      <c r="R42" s="311"/>
    </row>
    <row r="43" spans="2:20" ht="15" customHeight="1" x14ac:dyDescent="0.25">
      <c r="B43" s="309"/>
      <c r="C43" s="310"/>
      <c r="D43" s="310"/>
      <c r="E43" s="310"/>
      <c r="F43" s="310"/>
      <c r="G43" s="310"/>
      <c r="H43" s="310"/>
      <c r="I43" s="310"/>
      <c r="J43" s="310"/>
      <c r="K43" s="310"/>
      <c r="L43" s="310"/>
      <c r="M43" s="310"/>
      <c r="N43" s="310"/>
      <c r="O43" s="310"/>
      <c r="P43" s="310"/>
      <c r="Q43" s="310"/>
      <c r="R43" s="311"/>
    </row>
    <row r="44" spans="2:20" ht="15" customHeight="1" thickBot="1" x14ac:dyDescent="0.3">
      <c r="B44" s="312"/>
      <c r="C44" s="313"/>
      <c r="D44" s="313"/>
      <c r="E44" s="313"/>
      <c r="F44" s="313"/>
      <c r="G44" s="313"/>
      <c r="H44" s="313"/>
      <c r="I44" s="313"/>
      <c r="J44" s="313"/>
      <c r="K44" s="313"/>
      <c r="L44" s="313"/>
      <c r="M44" s="313"/>
      <c r="N44" s="313"/>
      <c r="O44" s="313"/>
      <c r="P44" s="313"/>
      <c r="Q44" s="313"/>
      <c r="R44" s="314"/>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8.42578125" style="39" customWidth="1"/>
    <col min="25" max="27" width="9.140625" style="39"/>
    <col min="28" max="16384" width="9.140625" style="19"/>
  </cols>
  <sheetData>
    <row r="1" spans="1:37" ht="15.75" customHeight="1" thickBot="1" x14ac:dyDescent="0.3">
      <c r="A1" s="3"/>
    </row>
    <row r="2" spans="1:37" ht="15" customHeight="1" x14ac:dyDescent="0.25">
      <c r="B2" s="77"/>
      <c r="C2" s="78"/>
      <c r="D2" s="78"/>
      <c r="E2" s="78"/>
      <c r="F2" s="78"/>
      <c r="G2" s="78"/>
      <c r="H2" s="78"/>
      <c r="I2" s="78"/>
      <c r="J2" s="78"/>
      <c r="K2" s="78"/>
      <c r="L2" s="78"/>
      <c r="M2" s="78"/>
      <c r="N2" s="78"/>
      <c r="O2" s="78"/>
      <c r="P2" s="78"/>
      <c r="Q2" s="78"/>
      <c r="R2" s="78"/>
      <c r="S2" s="78"/>
      <c r="T2" s="21"/>
    </row>
    <row r="3" spans="1:37" ht="20.25" customHeight="1" x14ac:dyDescent="0.25">
      <c r="B3" s="79"/>
      <c r="C3" s="315" t="s">
        <v>165</v>
      </c>
      <c r="D3" s="316"/>
      <c r="E3" s="316"/>
      <c r="F3" s="316"/>
      <c r="G3" s="316"/>
      <c r="H3" s="316"/>
      <c r="I3" s="316"/>
      <c r="J3" s="316"/>
      <c r="K3" s="316"/>
      <c r="L3" s="316"/>
      <c r="M3" s="316"/>
      <c r="N3" s="316"/>
      <c r="O3" s="316"/>
      <c r="P3" s="316"/>
      <c r="Q3" s="316"/>
      <c r="R3" s="316"/>
      <c r="S3" s="316"/>
      <c r="T3" s="22"/>
    </row>
    <row r="4" spans="1:37" ht="15.75" customHeight="1" x14ac:dyDescent="0.25">
      <c r="B4" s="79"/>
      <c r="C4" s="67" t="s">
        <v>430</v>
      </c>
      <c r="D4" s="29"/>
      <c r="E4" s="29"/>
      <c r="F4" s="29"/>
      <c r="G4" s="29"/>
      <c r="H4" s="29"/>
      <c r="I4" s="29"/>
      <c r="J4" s="29"/>
      <c r="K4" s="29"/>
      <c r="L4" s="29"/>
      <c r="M4" s="29"/>
      <c r="N4" s="29"/>
      <c r="O4" s="29"/>
      <c r="P4" s="29"/>
      <c r="Q4" s="29"/>
      <c r="R4" s="29"/>
      <c r="S4" s="29"/>
      <c r="T4" s="22"/>
    </row>
    <row r="5" spans="1:37" ht="18" customHeight="1" x14ac:dyDescent="0.25">
      <c r="B5" s="79"/>
      <c r="C5" s="211" t="s">
        <v>431</v>
      </c>
      <c r="D5" s="318" t="s">
        <v>388</v>
      </c>
      <c r="E5" s="319"/>
      <c r="F5" s="29"/>
      <c r="G5" s="29"/>
      <c r="H5" s="29"/>
      <c r="I5" s="29"/>
      <c r="J5" s="29"/>
      <c r="K5" s="29"/>
      <c r="L5" s="29"/>
      <c r="M5" s="29"/>
      <c r="N5" s="29"/>
      <c r="O5" s="29"/>
      <c r="P5" s="29"/>
      <c r="Q5" s="29"/>
      <c r="R5" s="29"/>
      <c r="S5" s="29"/>
      <c r="T5" s="22"/>
    </row>
    <row r="6" spans="1:37" ht="15" customHeight="1" x14ac:dyDescent="0.25">
      <c r="B6" s="79"/>
      <c r="C6" s="29"/>
      <c r="D6" s="29"/>
      <c r="E6" s="29"/>
      <c r="F6" s="29"/>
      <c r="G6" s="29"/>
      <c r="H6" s="29"/>
      <c r="I6" s="29"/>
      <c r="J6" s="29"/>
      <c r="K6" s="29"/>
      <c r="L6" s="29"/>
      <c r="M6" s="29"/>
      <c r="N6" s="29"/>
      <c r="O6" s="29"/>
      <c r="P6" s="29"/>
      <c r="Q6" s="29"/>
      <c r="R6" s="29"/>
      <c r="S6" s="29"/>
      <c r="T6" s="22"/>
      <c r="AK6" s="39"/>
    </row>
    <row r="7" spans="1:37"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37" ht="15" customHeight="1" x14ac:dyDescent="0.25">
      <c r="B8" s="79"/>
      <c r="C8" s="184" t="s">
        <v>29</v>
      </c>
      <c r="D8" s="185" t="s">
        <v>3</v>
      </c>
      <c r="E8" s="186">
        <v>8.0052999999999999E-2</v>
      </c>
      <c r="F8" s="29"/>
      <c r="G8" s="29"/>
      <c r="H8" s="29"/>
      <c r="I8" s="29"/>
      <c r="J8" s="29"/>
      <c r="K8" s="29"/>
      <c r="L8" s="29"/>
      <c r="M8" s="29"/>
      <c r="N8" s="29"/>
      <c r="O8" s="29"/>
      <c r="P8" s="29"/>
      <c r="Q8" s="29"/>
      <c r="R8" s="29"/>
      <c r="S8" s="29"/>
      <c r="T8" s="22"/>
      <c r="W8" s="173" t="s">
        <v>3</v>
      </c>
      <c r="X8" s="224">
        <v>0.224134</v>
      </c>
    </row>
    <row r="9" spans="1:37" ht="15.75" customHeight="1" x14ac:dyDescent="0.25">
      <c r="B9" s="79"/>
      <c r="C9" s="180" t="s">
        <v>31</v>
      </c>
      <c r="D9" s="187" t="s">
        <v>6</v>
      </c>
      <c r="E9" s="188">
        <v>7.1322999999999998E-2</v>
      </c>
      <c r="F9" s="29"/>
      <c r="G9" s="29"/>
      <c r="H9" s="29"/>
      <c r="I9" s="29"/>
      <c r="J9" s="29"/>
      <c r="K9" s="29"/>
      <c r="L9" s="29"/>
      <c r="M9" s="29"/>
      <c r="N9" s="29"/>
      <c r="O9" s="29"/>
      <c r="P9" s="29"/>
      <c r="Q9" s="29"/>
      <c r="R9" s="29"/>
      <c r="S9" s="29"/>
      <c r="T9" s="22"/>
      <c r="W9" s="173" t="s">
        <v>6</v>
      </c>
      <c r="X9" s="224">
        <v>8.2533999999999996E-2</v>
      </c>
    </row>
    <row r="10" spans="1:37" ht="15" customHeight="1" x14ac:dyDescent="0.25">
      <c r="B10" s="79"/>
      <c r="C10" s="180" t="s">
        <v>36</v>
      </c>
      <c r="D10" s="187" t="s">
        <v>3</v>
      </c>
      <c r="E10" s="188">
        <v>5.6252999999999997E-2</v>
      </c>
      <c r="F10" s="29"/>
      <c r="G10" s="29"/>
      <c r="H10" s="29"/>
      <c r="I10" s="29"/>
      <c r="J10" s="29"/>
      <c r="K10" s="29"/>
      <c r="L10" s="29"/>
      <c r="M10" s="29"/>
      <c r="N10" s="29"/>
      <c r="O10" s="29"/>
      <c r="P10" s="29"/>
      <c r="Q10" s="29"/>
      <c r="R10" s="29"/>
      <c r="S10" s="29"/>
      <c r="T10" s="22"/>
      <c r="W10" s="173" t="s">
        <v>104</v>
      </c>
      <c r="X10" s="224">
        <v>6.8611000000000005E-2</v>
      </c>
    </row>
    <row r="11" spans="1:37" ht="15" customHeight="1" x14ac:dyDescent="0.25">
      <c r="B11" s="79"/>
      <c r="C11" s="180" t="s">
        <v>32</v>
      </c>
      <c r="D11" s="187" t="s">
        <v>3</v>
      </c>
      <c r="E11" s="188">
        <v>3.6285999999999999E-2</v>
      </c>
      <c r="F11" s="29"/>
      <c r="G11" s="29"/>
      <c r="H11" s="29"/>
      <c r="I11" s="29"/>
      <c r="J11" s="29"/>
      <c r="K11" s="29"/>
      <c r="L11" s="29"/>
      <c r="M11" s="29"/>
      <c r="N11" s="29"/>
      <c r="O11" s="29"/>
      <c r="P11" s="29"/>
      <c r="Q11" s="29"/>
      <c r="R11" s="29"/>
      <c r="S11" s="29"/>
      <c r="T11" s="22"/>
      <c r="W11" s="173" t="s">
        <v>108</v>
      </c>
      <c r="X11" s="224">
        <v>5.6884000000000004E-2</v>
      </c>
    </row>
    <row r="12" spans="1:37" ht="15" customHeight="1" x14ac:dyDescent="0.25">
      <c r="B12" s="79"/>
      <c r="C12" s="180" t="s">
        <v>33</v>
      </c>
      <c r="D12" s="187" t="s">
        <v>104</v>
      </c>
      <c r="E12" s="188">
        <v>3.1293000000000001E-2</v>
      </c>
      <c r="F12" s="29"/>
      <c r="G12" s="29"/>
      <c r="H12" s="29"/>
      <c r="I12" s="29"/>
      <c r="J12" s="29"/>
      <c r="K12" s="29"/>
      <c r="L12" s="29"/>
      <c r="M12" s="29"/>
      <c r="N12" s="29"/>
      <c r="O12" s="29"/>
      <c r="P12" s="29"/>
      <c r="Q12" s="29"/>
      <c r="R12" s="29"/>
      <c r="S12" s="29"/>
      <c r="T12" s="22"/>
      <c r="W12" s="173" t="s">
        <v>83</v>
      </c>
      <c r="X12" s="224">
        <v>4.9549999999999997E-2</v>
      </c>
    </row>
    <row r="13" spans="1:37" ht="15.75" customHeight="1" x14ac:dyDescent="0.25">
      <c r="B13" s="79"/>
      <c r="C13" s="180" t="s">
        <v>35</v>
      </c>
      <c r="D13" s="187" t="s">
        <v>3</v>
      </c>
      <c r="E13" s="188">
        <v>3.0200999999999999E-2</v>
      </c>
      <c r="F13" s="29"/>
      <c r="G13" s="29"/>
      <c r="H13" s="29"/>
      <c r="I13" s="29"/>
      <c r="J13" s="29"/>
      <c r="K13" s="29"/>
      <c r="L13" s="29"/>
      <c r="M13" s="29"/>
      <c r="N13" s="29"/>
      <c r="O13" s="29"/>
      <c r="P13" s="29"/>
      <c r="Q13" s="29"/>
      <c r="R13" s="29"/>
      <c r="S13" s="29"/>
      <c r="T13" s="22"/>
      <c r="W13" s="173" t="s">
        <v>109</v>
      </c>
      <c r="X13" s="224">
        <v>4.6672000000000005E-2</v>
      </c>
    </row>
    <row r="14" spans="1:37" ht="15" customHeight="1" x14ac:dyDescent="0.25">
      <c r="B14" s="79"/>
      <c r="C14" s="180" t="s">
        <v>72</v>
      </c>
      <c r="D14" s="187" t="s">
        <v>11</v>
      </c>
      <c r="E14" s="188">
        <v>2.3814999999999999E-2</v>
      </c>
      <c r="F14" s="29"/>
      <c r="G14" s="29"/>
      <c r="H14" s="29"/>
      <c r="I14" s="29"/>
      <c r="J14" s="29"/>
      <c r="K14" s="29"/>
      <c r="L14" s="29"/>
      <c r="M14" s="29"/>
      <c r="N14" s="29"/>
      <c r="O14" s="29"/>
      <c r="P14" s="29"/>
      <c r="Q14" s="29"/>
      <c r="R14" s="29"/>
      <c r="S14" s="29"/>
      <c r="T14" s="22"/>
      <c r="W14" s="173" t="s">
        <v>16</v>
      </c>
      <c r="X14" s="224">
        <v>3.9225999999999997E-2</v>
      </c>
    </row>
    <row r="15" spans="1:37" ht="15" customHeight="1" x14ac:dyDescent="0.25">
      <c r="B15" s="79"/>
      <c r="C15" s="180" t="s">
        <v>28</v>
      </c>
      <c r="D15" s="187" t="s">
        <v>104</v>
      </c>
      <c r="E15" s="188">
        <v>2.3532000000000001E-2</v>
      </c>
      <c r="F15" s="29"/>
      <c r="G15" s="29"/>
      <c r="H15" s="29"/>
      <c r="I15" s="29"/>
      <c r="J15" s="29"/>
      <c r="K15" s="29"/>
      <c r="L15" s="29"/>
      <c r="M15" s="29"/>
      <c r="N15" s="29"/>
      <c r="O15" s="29"/>
      <c r="P15" s="29"/>
      <c r="Q15" s="29"/>
      <c r="R15" s="29"/>
      <c r="S15" s="29"/>
      <c r="T15" s="22"/>
      <c r="W15" s="173" t="s">
        <v>4</v>
      </c>
      <c r="X15" s="224">
        <v>3.6988E-2</v>
      </c>
    </row>
    <row r="16" spans="1:37" ht="15" customHeight="1" x14ac:dyDescent="0.25">
      <c r="B16" s="79"/>
      <c r="C16" s="180" t="s">
        <v>141</v>
      </c>
      <c r="D16" s="187" t="s">
        <v>109</v>
      </c>
      <c r="E16" s="188">
        <v>2.1631000000000001E-2</v>
      </c>
      <c r="F16" s="29"/>
      <c r="G16" s="29"/>
      <c r="H16" s="29"/>
      <c r="I16" s="29"/>
      <c r="J16" s="29"/>
      <c r="K16" s="29"/>
      <c r="L16" s="29"/>
      <c r="M16" s="29"/>
      <c r="N16" s="29"/>
      <c r="O16" s="29"/>
      <c r="P16" s="29"/>
      <c r="Q16" s="29"/>
      <c r="R16" s="29"/>
      <c r="S16" s="29"/>
      <c r="T16" s="22"/>
      <c r="W16" s="173" t="s">
        <v>11</v>
      </c>
      <c r="X16" s="224">
        <v>3.1647000000000002E-2</v>
      </c>
    </row>
    <row r="17" spans="2:24" ht="15" customHeight="1" x14ac:dyDescent="0.25">
      <c r="B17" s="79"/>
      <c r="C17" s="180" t="s">
        <v>95</v>
      </c>
      <c r="D17" s="187" t="s">
        <v>116</v>
      </c>
      <c r="E17" s="188">
        <v>2.0681999999999999E-2</v>
      </c>
      <c r="F17" s="29"/>
      <c r="G17" s="29"/>
      <c r="H17" s="29"/>
      <c r="I17" s="29"/>
      <c r="J17" s="29"/>
      <c r="K17" s="29"/>
      <c r="L17" s="29"/>
      <c r="M17" s="29"/>
      <c r="N17" s="29"/>
      <c r="O17" s="29"/>
      <c r="P17" s="29"/>
      <c r="Q17" s="29"/>
      <c r="R17" s="29"/>
      <c r="S17" s="29"/>
      <c r="T17" s="22"/>
      <c r="W17" s="173" t="s">
        <v>23</v>
      </c>
      <c r="X17" s="224">
        <v>2.6123E-2</v>
      </c>
    </row>
    <row r="18" spans="2:24" ht="15" customHeight="1" x14ac:dyDescent="0.25">
      <c r="B18" s="79"/>
      <c r="C18" s="180" t="s">
        <v>353</v>
      </c>
      <c r="D18" s="187" t="s">
        <v>83</v>
      </c>
      <c r="E18" s="188">
        <v>2.0277E-2</v>
      </c>
      <c r="F18" s="29"/>
      <c r="G18" s="29"/>
      <c r="H18" s="29"/>
      <c r="I18" s="29"/>
      <c r="J18" s="29"/>
      <c r="K18" s="29"/>
      <c r="L18" s="29"/>
      <c r="M18" s="29"/>
      <c r="N18" s="29"/>
      <c r="O18" s="29"/>
      <c r="P18" s="29"/>
      <c r="Q18" s="29"/>
      <c r="R18" s="29"/>
      <c r="S18" s="29"/>
      <c r="T18" s="22"/>
      <c r="W18" s="173" t="s">
        <v>107</v>
      </c>
      <c r="X18" s="224">
        <v>2.2464000000000001E-2</v>
      </c>
    </row>
    <row r="19" spans="2:24" ht="15" customHeight="1" x14ac:dyDescent="0.25">
      <c r="B19" s="79"/>
      <c r="C19" s="180" t="s">
        <v>319</v>
      </c>
      <c r="D19" s="187" t="s">
        <v>83</v>
      </c>
      <c r="E19" s="188">
        <v>1.9297999999999999E-2</v>
      </c>
      <c r="F19" s="29"/>
      <c r="G19" s="29"/>
      <c r="H19" s="29"/>
      <c r="I19" s="29"/>
      <c r="J19" s="29"/>
      <c r="K19" s="29"/>
      <c r="L19" s="29"/>
      <c r="M19" s="29"/>
      <c r="N19" s="29"/>
      <c r="O19" s="29"/>
      <c r="P19" s="29"/>
      <c r="Q19" s="29"/>
      <c r="R19" s="29"/>
      <c r="S19" s="29"/>
      <c r="T19" s="22"/>
      <c r="W19" s="173" t="s">
        <v>116</v>
      </c>
      <c r="X19" s="224">
        <v>2.0681999999999999E-2</v>
      </c>
    </row>
    <row r="20" spans="2:24" ht="15" customHeight="1" x14ac:dyDescent="0.25">
      <c r="B20" s="79"/>
      <c r="C20" s="180" t="s">
        <v>30</v>
      </c>
      <c r="D20" s="187" t="s">
        <v>114</v>
      </c>
      <c r="E20" s="188">
        <v>1.8886E-2</v>
      </c>
      <c r="F20" s="29"/>
      <c r="G20" s="29"/>
      <c r="H20" s="29"/>
      <c r="I20" s="29"/>
      <c r="J20" s="29"/>
      <c r="K20" s="29"/>
      <c r="L20" s="29"/>
      <c r="M20" s="29"/>
      <c r="N20" s="29"/>
      <c r="O20" s="29"/>
      <c r="P20" s="29"/>
      <c r="Q20" s="29"/>
      <c r="R20" s="29"/>
      <c r="S20" s="29"/>
      <c r="T20" s="22"/>
      <c r="W20" s="173" t="s">
        <v>103</v>
      </c>
      <c r="X20" s="224">
        <v>2.0604999999999998E-2</v>
      </c>
    </row>
    <row r="21" spans="2:24" ht="15" customHeight="1" x14ac:dyDescent="0.25">
      <c r="B21" s="79"/>
      <c r="C21" s="180" t="s">
        <v>93</v>
      </c>
      <c r="D21" s="187" t="s">
        <v>109</v>
      </c>
      <c r="E21" s="188">
        <v>1.8551000000000002E-2</v>
      </c>
      <c r="F21" s="29"/>
      <c r="G21" s="29"/>
      <c r="H21" s="29"/>
      <c r="I21" s="29"/>
      <c r="J21" s="29"/>
      <c r="K21" s="29"/>
      <c r="L21" s="29"/>
      <c r="M21" s="29"/>
      <c r="N21" s="29"/>
      <c r="O21" s="29"/>
      <c r="P21" s="29"/>
      <c r="Q21" s="29"/>
      <c r="R21" s="29"/>
      <c r="S21" s="29"/>
      <c r="T21" s="22"/>
      <c r="W21" s="173" t="s">
        <v>110</v>
      </c>
      <c r="X21" s="224">
        <v>1.9194000000000003E-2</v>
      </c>
    </row>
    <row r="22" spans="2:24" ht="15" customHeight="1" x14ac:dyDescent="0.25">
      <c r="B22" s="79"/>
      <c r="C22" s="180" t="s">
        <v>236</v>
      </c>
      <c r="D22" s="187" t="s">
        <v>105</v>
      </c>
      <c r="E22" s="188">
        <v>1.7878000000000002E-2</v>
      </c>
      <c r="F22" s="29"/>
      <c r="G22" s="29"/>
      <c r="H22" s="29"/>
      <c r="I22" s="29"/>
      <c r="J22" s="29"/>
      <c r="K22" s="29"/>
      <c r="L22" s="29"/>
      <c r="M22" s="29"/>
      <c r="N22" s="29"/>
      <c r="O22" s="29"/>
      <c r="P22" s="29"/>
      <c r="Q22" s="29"/>
      <c r="R22" s="29"/>
      <c r="S22" s="29"/>
      <c r="T22" s="22"/>
      <c r="W22" s="173" t="s">
        <v>114</v>
      </c>
      <c r="X22" s="224">
        <v>1.8886E-2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73" t="s">
        <v>105</v>
      </c>
      <c r="X23" s="224">
        <v>1.7878000000000002E-2</v>
      </c>
    </row>
    <row r="24" spans="2:24" ht="15" customHeight="1" x14ac:dyDescent="0.25">
      <c r="B24" s="79"/>
      <c r="C24" s="73" t="s">
        <v>55</v>
      </c>
      <c r="D24" s="74"/>
      <c r="E24" s="84">
        <f>SUM(E8:E22)</f>
        <v>0.48995899999999992</v>
      </c>
      <c r="F24" s="29"/>
      <c r="G24" s="29"/>
      <c r="H24" s="29"/>
      <c r="I24" s="29"/>
      <c r="J24" s="29"/>
      <c r="K24" s="29"/>
      <c r="L24" s="29"/>
      <c r="M24" s="29"/>
      <c r="N24" s="29"/>
      <c r="O24" s="29"/>
      <c r="P24" s="29"/>
      <c r="Q24" s="29"/>
      <c r="R24" s="29"/>
      <c r="S24" s="29"/>
      <c r="T24" s="22"/>
      <c r="W24" s="173" t="s">
        <v>26</v>
      </c>
      <c r="X24" s="224">
        <v>1.7083000000000001E-2</v>
      </c>
    </row>
    <row r="25" spans="2:24" ht="15" customHeight="1" x14ac:dyDescent="0.25">
      <c r="B25" s="79"/>
      <c r="C25" s="51"/>
      <c r="D25" s="51"/>
      <c r="E25" s="51"/>
      <c r="F25" s="29"/>
      <c r="G25" s="29"/>
      <c r="H25" s="29"/>
      <c r="I25" s="29"/>
      <c r="J25" s="29"/>
      <c r="K25" s="29"/>
      <c r="L25" s="29"/>
      <c r="M25" s="29"/>
      <c r="N25" s="29"/>
      <c r="O25" s="29"/>
      <c r="P25" s="29"/>
      <c r="Q25" s="29"/>
      <c r="R25" s="29"/>
      <c r="S25" s="29"/>
      <c r="T25" s="22"/>
      <c r="W25" s="173" t="s">
        <v>130</v>
      </c>
      <c r="X25" s="224">
        <v>1.5304E-2</v>
      </c>
    </row>
    <row r="26" spans="2:24" ht="15" customHeight="1" x14ac:dyDescent="0.25">
      <c r="B26" s="79"/>
      <c r="C26" s="85"/>
      <c r="D26" s="88"/>
      <c r="E26" s="154"/>
      <c r="F26" s="29"/>
      <c r="G26" s="29"/>
      <c r="H26" s="29"/>
      <c r="I26" s="29"/>
      <c r="J26" s="29"/>
      <c r="K26" s="29"/>
      <c r="L26" s="29"/>
      <c r="M26" s="29"/>
      <c r="N26" s="29"/>
      <c r="O26" s="29"/>
      <c r="P26" s="29"/>
      <c r="Q26" s="29"/>
      <c r="R26" s="29"/>
      <c r="S26" s="29"/>
      <c r="T26" s="22"/>
      <c r="W26" s="173" t="s">
        <v>118</v>
      </c>
      <c r="X26" s="224">
        <v>1.5294E-2</v>
      </c>
    </row>
    <row r="27" spans="2:24" ht="15" customHeight="1" x14ac:dyDescent="0.25">
      <c r="B27" s="79"/>
      <c r="F27" s="29"/>
      <c r="G27" s="29"/>
      <c r="H27" s="29"/>
      <c r="I27" s="29"/>
      <c r="J27" s="29"/>
      <c r="K27" s="29"/>
      <c r="L27" s="29"/>
      <c r="M27" s="29"/>
      <c r="N27" s="29"/>
      <c r="O27" s="29"/>
      <c r="P27" s="29"/>
      <c r="Q27" s="29"/>
      <c r="R27" s="29"/>
      <c r="S27" s="29"/>
      <c r="T27" s="22"/>
      <c r="W27" s="173" t="s">
        <v>80</v>
      </c>
      <c r="X27" s="224">
        <v>1.3634E-2</v>
      </c>
    </row>
    <row r="28" spans="2:24" ht="15" customHeight="1" x14ac:dyDescent="0.25">
      <c r="B28" s="79"/>
      <c r="F28" s="29"/>
      <c r="G28" s="29"/>
      <c r="H28" s="29"/>
      <c r="I28" s="29"/>
      <c r="J28" s="29"/>
      <c r="K28" s="29"/>
      <c r="L28" s="29"/>
      <c r="M28" s="29"/>
      <c r="N28" s="29"/>
      <c r="O28" s="29"/>
      <c r="P28" s="29"/>
      <c r="Q28" s="29"/>
      <c r="R28" s="29"/>
      <c r="S28" s="29"/>
      <c r="T28" s="22"/>
      <c r="W28" s="173" t="s">
        <v>10</v>
      </c>
      <c r="X28" s="224">
        <v>1.3408E-2</v>
      </c>
    </row>
    <row r="29" spans="2:24" ht="15" customHeight="1" x14ac:dyDescent="0.25">
      <c r="B29" s="79"/>
      <c r="F29" s="29"/>
      <c r="G29" s="29"/>
      <c r="H29" s="29"/>
      <c r="I29" s="29"/>
      <c r="J29" s="29"/>
      <c r="K29" s="29"/>
      <c r="L29" s="29"/>
      <c r="M29" s="29"/>
      <c r="N29" s="29"/>
      <c r="O29" s="29"/>
      <c r="P29" s="29"/>
      <c r="Q29" s="29"/>
      <c r="R29" s="29"/>
      <c r="S29" s="29"/>
      <c r="T29" s="22"/>
      <c r="W29" s="173" t="s">
        <v>121</v>
      </c>
      <c r="X29" s="224">
        <v>1.0699999999999999E-2</v>
      </c>
    </row>
    <row r="30" spans="2:24" ht="15" customHeight="1" x14ac:dyDescent="0.25">
      <c r="B30" s="79"/>
      <c r="F30" s="29"/>
      <c r="G30" s="29"/>
      <c r="H30" s="29"/>
      <c r="I30" s="29"/>
      <c r="J30" s="29"/>
      <c r="K30" s="29"/>
      <c r="L30" s="29"/>
      <c r="M30" s="29"/>
      <c r="N30" s="29"/>
      <c r="O30" s="29"/>
      <c r="P30" s="29"/>
      <c r="Q30" s="29"/>
      <c r="R30" s="29"/>
      <c r="S30" s="29"/>
      <c r="T30" s="22"/>
      <c r="W30" s="173" t="s">
        <v>13</v>
      </c>
      <c r="X30" s="224">
        <v>9.613E-3</v>
      </c>
    </row>
    <row r="31" spans="2:24" ht="15" customHeight="1" x14ac:dyDescent="0.25">
      <c r="B31" s="79"/>
      <c r="F31" s="29"/>
      <c r="G31" s="29"/>
      <c r="H31" s="29"/>
      <c r="I31" s="29"/>
      <c r="J31" s="29"/>
      <c r="K31" s="29"/>
      <c r="L31" s="29"/>
      <c r="M31" s="29"/>
      <c r="N31" s="29"/>
      <c r="O31" s="29"/>
      <c r="P31" s="29"/>
      <c r="Q31" s="29"/>
      <c r="R31" s="29"/>
      <c r="S31" s="29"/>
      <c r="T31" s="22"/>
      <c r="W31" s="173" t="s">
        <v>81</v>
      </c>
      <c r="X31" s="224">
        <v>9.2759999999999995E-3</v>
      </c>
    </row>
    <row r="32" spans="2:24" ht="15" customHeight="1" x14ac:dyDescent="0.25">
      <c r="B32" s="79"/>
      <c r="F32" s="29"/>
      <c r="G32" s="29"/>
      <c r="H32" s="29"/>
      <c r="I32" s="29"/>
      <c r="J32" s="29"/>
      <c r="K32" s="29"/>
      <c r="L32" s="29"/>
      <c r="M32" s="29"/>
      <c r="N32" s="29"/>
      <c r="O32" s="29"/>
      <c r="P32" s="29"/>
      <c r="Q32" s="29"/>
      <c r="R32" s="29"/>
      <c r="S32" s="29"/>
      <c r="T32" s="22"/>
      <c r="W32" s="173" t="s">
        <v>115</v>
      </c>
      <c r="X32" s="224">
        <v>7.1259999999999995E-3</v>
      </c>
    </row>
    <row r="33" spans="2:24" ht="15" customHeight="1" thickBot="1" x14ac:dyDescent="0.3">
      <c r="B33" s="80"/>
      <c r="C33" s="81"/>
      <c r="D33" s="81"/>
      <c r="E33" s="81"/>
      <c r="F33" s="81"/>
      <c r="G33" s="81"/>
      <c r="H33" s="81"/>
      <c r="I33" s="81"/>
      <c r="J33" s="81"/>
      <c r="K33" s="81"/>
      <c r="L33" s="81"/>
      <c r="M33" s="81"/>
      <c r="N33" s="81"/>
      <c r="O33" s="81"/>
      <c r="P33" s="81"/>
      <c r="Q33" s="81"/>
      <c r="R33" s="81"/>
      <c r="S33" s="81"/>
      <c r="T33" s="23"/>
      <c r="W33" s="173" t="s">
        <v>143</v>
      </c>
      <c r="X33" s="224">
        <v>5.359E-3</v>
      </c>
    </row>
    <row r="34" spans="2:24" ht="15" customHeight="1" thickBot="1" x14ac:dyDescent="0.3">
      <c r="W34" s="173" t="s">
        <v>123</v>
      </c>
      <c r="X34" s="224">
        <v>5.2449999999999997E-3</v>
      </c>
    </row>
    <row r="35" spans="2:24" ht="15" customHeight="1" x14ac:dyDescent="0.25">
      <c r="B35" s="306" t="s">
        <v>177</v>
      </c>
      <c r="C35" s="307"/>
      <c r="D35" s="307"/>
      <c r="E35" s="307"/>
      <c r="F35" s="307"/>
      <c r="G35" s="307"/>
      <c r="H35" s="307"/>
      <c r="I35" s="307"/>
      <c r="J35" s="307"/>
      <c r="K35" s="307"/>
      <c r="L35" s="307"/>
      <c r="M35" s="307"/>
      <c r="N35" s="307"/>
      <c r="O35" s="307"/>
      <c r="P35" s="307"/>
      <c r="Q35" s="307"/>
      <c r="R35" s="308"/>
      <c r="W35" s="173" t="s">
        <v>317</v>
      </c>
      <c r="X35" s="224">
        <v>4.4780000000000002E-3</v>
      </c>
    </row>
    <row r="36" spans="2:24" ht="15" customHeight="1" x14ac:dyDescent="0.25">
      <c r="B36" s="309"/>
      <c r="C36" s="310"/>
      <c r="D36" s="310"/>
      <c r="E36" s="310"/>
      <c r="F36" s="310"/>
      <c r="G36" s="310"/>
      <c r="H36" s="310"/>
      <c r="I36" s="310"/>
      <c r="J36" s="310"/>
      <c r="K36" s="310"/>
      <c r="L36" s="310"/>
      <c r="M36" s="310"/>
      <c r="N36" s="310"/>
      <c r="O36" s="310"/>
      <c r="P36" s="310"/>
      <c r="Q36" s="310"/>
      <c r="R36" s="311"/>
      <c r="W36" s="173" t="s">
        <v>113</v>
      </c>
      <c r="X36" s="224">
        <v>3.5620000000000001E-3</v>
      </c>
    </row>
    <row r="37" spans="2:24" ht="15" customHeight="1" x14ac:dyDescent="0.25">
      <c r="B37" s="309"/>
      <c r="C37" s="310"/>
      <c r="D37" s="310"/>
      <c r="E37" s="310"/>
      <c r="F37" s="310"/>
      <c r="G37" s="310"/>
      <c r="H37" s="310"/>
      <c r="I37" s="310"/>
      <c r="J37" s="310"/>
      <c r="K37" s="310"/>
      <c r="L37" s="310"/>
      <c r="M37" s="310"/>
      <c r="N37" s="310"/>
      <c r="O37" s="310"/>
      <c r="P37" s="310"/>
      <c r="Q37" s="310"/>
      <c r="R37" s="311"/>
      <c r="W37" s="173" t="s">
        <v>12</v>
      </c>
      <c r="X37" s="224">
        <v>1.6100000000000001E-3</v>
      </c>
    </row>
    <row r="38" spans="2:24" ht="15" customHeight="1" x14ac:dyDescent="0.25">
      <c r="B38" s="309"/>
      <c r="C38" s="310"/>
      <c r="D38" s="310"/>
      <c r="E38" s="310"/>
      <c r="F38" s="310"/>
      <c r="G38" s="310"/>
      <c r="H38" s="310"/>
      <c r="I38" s="310"/>
      <c r="J38" s="310"/>
      <c r="K38" s="310"/>
      <c r="L38" s="310"/>
      <c r="M38" s="310"/>
      <c r="N38" s="310"/>
      <c r="O38" s="310"/>
      <c r="P38" s="310"/>
      <c r="Q38" s="310"/>
      <c r="R38" s="311"/>
      <c r="W38" s="173"/>
      <c r="X38" s="224"/>
    </row>
    <row r="39" spans="2:24" ht="15" customHeight="1" x14ac:dyDescent="0.25">
      <c r="B39" s="309"/>
      <c r="C39" s="310"/>
      <c r="D39" s="310"/>
      <c r="E39" s="310"/>
      <c r="F39" s="310"/>
      <c r="G39" s="310"/>
      <c r="H39" s="310"/>
      <c r="I39" s="310"/>
      <c r="J39" s="310"/>
      <c r="K39" s="310"/>
      <c r="L39" s="310"/>
      <c r="M39" s="310"/>
      <c r="N39" s="310"/>
      <c r="O39" s="310"/>
      <c r="P39" s="310"/>
      <c r="Q39" s="310"/>
      <c r="R39" s="311"/>
      <c r="W39" s="173"/>
      <c r="X39" s="224"/>
    </row>
    <row r="40" spans="2:24" ht="15" customHeight="1" x14ac:dyDescent="0.25">
      <c r="B40" s="309"/>
      <c r="C40" s="310"/>
      <c r="D40" s="310"/>
      <c r="E40" s="310"/>
      <c r="F40" s="310"/>
      <c r="G40" s="310"/>
      <c r="H40" s="310"/>
      <c r="I40" s="310"/>
      <c r="J40" s="310"/>
      <c r="K40" s="310"/>
      <c r="L40" s="310"/>
      <c r="M40" s="310"/>
      <c r="N40" s="310"/>
      <c r="O40" s="310"/>
      <c r="P40" s="310"/>
      <c r="Q40" s="310"/>
      <c r="R40" s="311"/>
    </row>
    <row r="41" spans="2:24" ht="15" customHeight="1" thickBot="1" x14ac:dyDescent="0.3">
      <c r="B41" s="312"/>
      <c r="C41" s="313"/>
      <c r="D41" s="313"/>
      <c r="E41" s="313"/>
      <c r="F41" s="313"/>
      <c r="G41" s="313"/>
      <c r="H41" s="313"/>
      <c r="I41" s="313"/>
      <c r="J41" s="313"/>
      <c r="K41" s="313"/>
      <c r="L41" s="313"/>
      <c r="M41" s="313"/>
      <c r="N41" s="313"/>
      <c r="O41" s="313"/>
      <c r="P41" s="313"/>
      <c r="Q41" s="313"/>
      <c r="R41" s="314"/>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55"/>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sheetPr codeName="Sheet11"/>
  <dimension ref="A1:AA59"/>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49.710937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315" t="s">
        <v>164</v>
      </c>
      <c r="D3" s="316"/>
      <c r="E3" s="316"/>
      <c r="F3" s="316"/>
      <c r="G3" s="316"/>
      <c r="H3" s="316"/>
      <c r="I3" s="316"/>
      <c r="J3" s="316"/>
      <c r="K3" s="316"/>
      <c r="L3" s="316"/>
      <c r="M3" s="316"/>
      <c r="N3" s="316"/>
      <c r="O3" s="316"/>
      <c r="P3" s="316"/>
      <c r="Q3" s="316"/>
      <c r="R3" s="316"/>
      <c r="S3" s="316"/>
      <c r="T3" s="22"/>
      <c r="V3" s="40"/>
      <c r="W3" s="40"/>
      <c r="X3" s="40"/>
      <c r="Y3" s="40"/>
      <c r="Z3" s="40"/>
      <c r="AA3" s="40"/>
    </row>
    <row r="4" spans="1:27" ht="15.75" customHeight="1" x14ac:dyDescent="0.25">
      <c r="B4" s="79"/>
      <c r="C4" s="67" t="s">
        <v>430</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11" t="s">
        <v>431</v>
      </c>
      <c r="D5" s="317" t="s">
        <v>389</v>
      </c>
      <c r="E5" s="317"/>
      <c r="F5" s="29"/>
      <c r="G5" s="29"/>
      <c r="H5" s="29"/>
      <c r="I5" s="29"/>
      <c r="J5" s="29"/>
      <c r="K5" s="29"/>
      <c r="L5" s="29"/>
      <c r="M5" s="29"/>
      <c r="N5" s="29"/>
      <c r="O5" s="29"/>
      <c r="P5" s="29"/>
      <c r="Q5" s="29"/>
      <c r="R5" s="29"/>
      <c r="S5" s="29"/>
      <c r="T5" s="22"/>
      <c r="V5" s="151"/>
      <c r="W5" s="151"/>
      <c r="X5" s="151"/>
      <c r="Y5" s="151"/>
      <c r="Z5" s="40"/>
      <c r="AA5" s="40"/>
    </row>
    <row r="6" spans="1:27" ht="15" customHeight="1" x14ac:dyDescent="0.25">
      <c r="B6" s="79"/>
      <c r="C6" s="29"/>
      <c r="D6" s="29"/>
      <c r="E6" s="29"/>
      <c r="F6" s="29"/>
      <c r="G6" s="29"/>
      <c r="H6" s="29"/>
      <c r="I6" s="29"/>
      <c r="J6" s="29"/>
      <c r="K6" s="29"/>
      <c r="L6" s="29"/>
      <c r="M6" s="29"/>
      <c r="N6" s="29"/>
      <c r="O6" s="29"/>
      <c r="P6" s="29"/>
      <c r="Q6" s="29"/>
      <c r="R6" s="29"/>
      <c r="S6" s="29"/>
      <c r="T6" s="22"/>
      <c r="V6" s="151"/>
      <c r="W6" s="151"/>
      <c r="X6" s="151"/>
      <c r="Y6" s="151"/>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1"/>
      <c r="W7" s="151" t="s">
        <v>22</v>
      </c>
      <c r="X7" s="152" t="s">
        <v>2</v>
      </c>
      <c r="Y7" s="151"/>
      <c r="Z7" s="40"/>
      <c r="AA7" s="40"/>
    </row>
    <row r="8" spans="1:27" ht="15" customHeight="1" x14ac:dyDescent="0.25">
      <c r="B8" s="79"/>
      <c r="C8" s="195" t="s">
        <v>135</v>
      </c>
      <c r="D8" s="196" t="s">
        <v>26</v>
      </c>
      <c r="E8" s="193">
        <v>3.0676999999999999E-2</v>
      </c>
      <c r="F8" s="29"/>
      <c r="G8" s="29"/>
      <c r="H8" s="29"/>
      <c r="I8" s="29"/>
      <c r="J8" s="29"/>
      <c r="K8" s="29"/>
      <c r="L8" s="29"/>
      <c r="M8" s="29"/>
      <c r="N8" s="29"/>
      <c r="O8" s="29"/>
      <c r="P8" s="29"/>
      <c r="Q8" s="29"/>
      <c r="R8" s="29"/>
      <c r="S8" s="29"/>
      <c r="T8" s="22"/>
      <c r="V8" s="151"/>
      <c r="W8" s="173" t="s">
        <v>116</v>
      </c>
      <c r="X8" s="224">
        <v>8.6322999999999983E-2</v>
      </c>
      <c r="Y8" s="151"/>
      <c r="Z8" s="40"/>
      <c r="AA8" s="40"/>
    </row>
    <row r="9" spans="1:27" ht="15.75" customHeight="1" x14ac:dyDescent="0.25">
      <c r="B9" s="79"/>
      <c r="C9" s="197" t="s">
        <v>181</v>
      </c>
      <c r="D9" s="198" t="s">
        <v>104</v>
      </c>
      <c r="E9" s="194">
        <v>3.0138000000000002E-2</v>
      </c>
      <c r="F9" s="29"/>
      <c r="G9" s="29"/>
      <c r="H9" s="29"/>
      <c r="I9" s="29"/>
      <c r="J9" s="29"/>
      <c r="K9" s="29"/>
      <c r="L9" s="29"/>
      <c r="M9" s="29"/>
      <c r="N9" s="29"/>
      <c r="O9" s="29"/>
      <c r="P9" s="29"/>
      <c r="Q9" s="29"/>
      <c r="R9" s="29"/>
      <c r="S9" s="29"/>
      <c r="T9" s="22"/>
      <c r="V9" s="151"/>
      <c r="W9" s="173" t="s">
        <v>24</v>
      </c>
      <c r="X9" s="224">
        <v>8.1879999999999994E-2</v>
      </c>
      <c r="Y9" s="151"/>
      <c r="Z9" s="40"/>
      <c r="AA9" s="40"/>
    </row>
    <row r="10" spans="1:27" ht="15" customHeight="1" x14ac:dyDescent="0.25">
      <c r="B10" s="79"/>
      <c r="C10" s="197" t="s">
        <v>206</v>
      </c>
      <c r="D10" s="198" t="s">
        <v>110</v>
      </c>
      <c r="E10" s="194">
        <v>2.972E-2</v>
      </c>
      <c r="F10" s="29"/>
      <c r="G10" s="29"/>
      <c r="H10" s="29"/>
      <c r="I10" s="29"/>
      <c r="J10" s="29"/>
      <c r="K10" s="29"/>
      <c r="L10" s="29"/>
      <c r="M10" s="29"/>
      <c r="N10" s="29"/>
      <c r="O10" s="29"/>
      <c r="P10" s="29"/>
      <c r="Q10" s="29"/>
      <c r="R10" s="29"/>
      <c r="S10" s="29"/>
      <c r="T10" s="22"/>
      <c r="V10" s="151"/>
      <c r="W10" s="173" t="s">
        <v>108</v>
      </c>
      <c r="X10" s="224">
        <v>7.1662999999999991E-2</v>
      </c>
      <c r="Y10" s="151"/>
      <c r="Z10" s="40"/>
      <c r="AA10" s="40"/>
    </row>
    <row r="11" spans="1:27" ht="15" customHeight="1" x14ac:dyDescent="0.25">
      <c r="B11" s="79"/>
      <c r="C11" s="197" t="s">
        <v>91</v>
      </c>
      <c r="D11" s="198" t="s">
        <v>81</v>
      </c>
      <c r="E11" s="194">
        <v>2.5894E-2</v>
      </c>
      <c r="F11" s="29"/>
      <c r="G11" s="29"/>
      <c r="H11" s="29"/>
      <c r="I11" s="29"/>
      <c r="J11" s="29"/>
      <c r="K11" s="29"/>
      <c r="L11" s="29"/>
      <c r="M11" s="29"/>
      <c r="N11" s="29"/>
      <c r="O11" s="29"/>
      <c r="P11" s="29"/>
      <c r="Q11" s="29"/>
      <c r="R11" s="29"/>
      <c r="S11" s="29"/>
      <c r="T11" s="22"/>
      <c r="V11" s="151"/>
      <c r="W11" s="173" t="s">
        <v>16</v>
      </c>
      <c r="X11" s="224">
        <v>6.6088000000000008E-2</v>
      </c>
      <c r="Y11" s="151"/>
      <c r="Z11" s="40"/>
      <c r="AA11" s="40"/>
    </row>
    <row r="12" spans="1:27" ht="15" customHeight="1" x14ac:dyDescent="0.25">
      <c r="B12" s="79"/>
      <c r="C12" s="197" t="s">
        <v>226</v>
      </c>
      <c r="D12" s="198" t="s">
        <v>16</v>
      </c>
      <c r="E12" s="194">
        <v>2.4645E-2</v>
      </c>
      <c r="F12" s="29"/>
      <c r="G12" s="29"/>
      <c r="H12" s="29"/>
      <c r="I12" s="29"/>
      <c r="J12" s="29"/>
      <c r="K12" s="29"/>
      <c r="L12" s="29"/>
      <c r="M12" s="29"/>
      <c r="N12" s="29"/>
      <c r="O12" s="29"/>
      <c r="P12" s="29"/>
      <c r="Q12" s="29"/>
      <c r="R12" s="29"/>
      <c r="S12" s="29"/>
      <c r="T12" s="22"/>
      <c r="V12" s="151"/>
      <c r="W12" s="173" t="s">
        <v>107</v>
      </c>
      <c r="X12" s="224">
        <v>6.1384000000000001E-2</v>
      </c>
      <c r="Y12" s="151"/>
      <c r="Z12" s="40"/>
      <c r="AA12" s="40"/>
    </row>
    <row r="13" spans="1:27" ht="15" customHeight="1" x14ac:dyDescent="0.25">
      <c r="B13" s="79"/>
      <c r="C13" s="197" t="s">
        <v>214</v>
      </c>
      <c r="D13" s="198" t="s">
        <v>179</v>
      </c>
      <c r="E13" s="194">
        <v>2.3591999999999998E-2</v>
      </c>
      <c r="F13" s="29"/>
      <c r="G13" s="29"/>
      <c r="H13" s="29"/>
      <c r="I13" s="29"/>
      <c r="J13" s="29"/>
      <c r="K13" s="29"/>
      <c r="L13" s="29"/>
      <c r="M13" s="29"/>
      <c r="N13" s="29"/>
      <c r="O13" s="29"/>
      <c r="P13" s="29"/>
      <c r="Q13" s="29"/>
      <c r="R13" s="29"/>
      <c r="S13" s="29"/>
      <c r="T13" s="22"/>
      <c r="V13" s="151"/>
      <c r="W13" s="173" t="s">
        <v>104</v>
      </c>
      <c r="X13" s="224">
        <v>6.1214000000000005E-2</v>
      </c>
      <c r="Y13" s="151"/>
      <c r="Z13" s="40"/>
      <c r="AA13" s="40"/>
    </row>
    <row r="14" spans="1:27" ht="15" customHeight="1" x14ac:dyDescent="0.25">
      <c r="B14" s="79"/>
      <c r="C14" s="197" t="s">
        <v>355</v>
      </c>
      <c r="D14" s="198" t="s">
        <v>113</v>
      </c>
      <c r="E14" s="194">
        <v>2.3165999999999999E-2</v>
      </c>
      <c r="F14" s="29"/>
      <c r="G14" s="29"/>
      <c r="H14" s="29"/>
      <c r="I14" s="29"/>
      <c r="J14" s="29"/>
      <c r="K14" s="29"/>
      <c r="L14" s="29"/>
      <c r="M14" s="29"/>
      <c r="N14" s="29"/>
      <c r="O14" s="29"/>
      <c r="P14" s="29"/>
      <c r="Q14" s="29"/>
      <c r="R14" s="29"/>
      <c r="S14" s="29"/>
      <c r="T14" s="22"/>
      <c r="V14" s="151"/>
      <c r="W14" s="173" t="s">
        <v>26</v>
      </c>
      <c r="X14" s="224">
        <v>5.2039999999999996E-2</v>
      </c>
      <c r="Y14" s="151"/>
      <c r="Z14" s="40"/>
      <c r="AA14" s="40"/>
    </row>
    <row r="15" spans="1:27" ht="15.75" customHeight="1" x14ac:dyDescent="0.25">
      <c r="B15" s="79"/>
      <c r="C15" s="197" t="s">
        <v>289</v>
      </c>
      <c r="D15" s="198" t="s">
        <v>115</v>
      </c>
      <c r="E15" s="194">
        <v>2.1975999999999999E-2</v>
      </c>
      <c r="F15" s="29"/>
      <c r="G15" s="29"/>
      <c r="H15" s="29"/>
      <c r="I15" s="29"/>
      <c r="J15" s="29"/>
      <c r="K15" s="29"/>
      <c r="L15" s="29"/>
      <c r="M15" s="29"/>
      <c r="N15" s="29"/>
      <c r="O15" s="29"/>
      <c r="P15" s="29"/>
      <c r="Q15" s="29"/>
      <c r="R15" s="29"/>
      <c r="S15" s="29"/>
      <c r="T15" s="22"/>
      <c r="V15" s="151"/>
      <c r="W15" s="173" t="s">
        <v>74</v>
      </c>
      <c r="X15" s="224">
        <v>4.9875000000000003E-2</v>
      </c>
      <c r="Y15" s="151"/>
      <c r="Z15" s="40"/>
      <c r="AA15" s="40"/>
    </row>
    <row r="16" spans="1:27" ht="15" customHeight="1" x14ac:dyDescent="0.25">
      <c r="B16" s="79"/>
      <c r="C16" s="197" t="s">
        <v>95</v>
      </c>
      <c r="D16" s="198" t="s">
        <v>116</v>
      </c>
      <c r="E16" s="194">
        <v>2.1432E-2</v>
      </c>
      <c r="F16" s="29"/>
      <c r="G16" s="29"/>
      <c r="H16" s="29"/>
      <c r="I16" s="29"/>
      <c r="J16" s="29"/>
      <c r="K16" s="29"/>
      <c r="L16" s="29"/>
      <c r="M16" s="29"/>
      <c r="N16" s="29"/>
      <c r="O16" s="29"/>
      <c r="P16" s="29"/>
      <c r="Q16" s="29"/>
      <c r="R16" s="29"/>
      <c r="S16" s="29"/>
      <c r="T16" s="22"/>
      <c r="V16" s="151"/>
      <c r="W16" s="173" t="s">
        <v>110</v>
      </c>
      <c r="X16" s="224">
        <v>4.5872999999999997E-2</v>
      </c>
      <c r="Y16" s="151"/>
      <c r="Z16" s="40"/>
      <c r="AA16" s="40"/>
    </row>
    <row r="17" spans="2:27" ht="15.75" customHeight="1" x14ac:dyDescent="0.25">
      <c r="B17" s="79"/>
      <c r="C17" s="197" t="s">
        <v>282</v>
      </c>
      <c r="D17" s="198" t="s">
        <v>74</v>
      </c>
      <c r="E17" s="194">
        <v>2.0875000000000001E-2</v>
      </c>
      <c r="F17" s="29"/>
      <c r="G17" s="29"/>
      <c r="H17" s="29"/>
      <c r="I17" s="29"/>
      <c r="J17" s="29"/>
      <c r="K17" s="29"/>
      <c r="L17" s="29"/>
      <c r="M17" s="29"/>
      <c r="N17" s="29"/>
      <c r="O17" s="29"/>
      <c r="P17" s="29"/>
      <c r="Q17" s="29"/>
      <c r="R17" s="29"/>
      <c r="S17" s="29"/>
      <c r="T17" s="22"/>
      <c r="V17" s="151"/>
      <c r="W17" s="173" t="s">
        <v>3</v>
      </c>
      <c r="X17" s="224">
        <v>4.1020000000000001E-2</v>
      </c>
      <c r="Y17" s="151"/>
      <c r="Z17" s="40"/>
      <c r="AA17" s="40"/>
    </row>
    <row r="18" spans="2:27" ht="15.75" x14ac:dyDescent="0.25">
      <c r="B18" s="79"/>
      <c r="C18" s="197" t="s">
        <v>133</v>
      </c>
      <c r="D18" s="198" t="s">
        <v>107</v>
      </c>
      <c r="E18" s="194">
        <v>2.0726000000000001E-2</v>
      </c>
      <c r="F18" s="29"/>
      <c r="G18" s="29"/>
      <c r="H18" s="29"/>
      <c r="I18" s="29"/>
      <c r="J18" s="29"/>
      <c r="K18" s="29"/>
      <c r="L18" s="29"/>
      <c r="M18" s="29"/>
      <c r="N18" s="29"/>
      <c r="O18" s="29"/>
      <c r="P18" s="29"/>
      <c r="Q18" s="29"/>
      <c r="R18" s="29"/>
      <c r="S18" s="29"/>
      <c r="T18" s="22"/>
      <c r="V18" s="151"/>
      <c r="W18" s="173" t="s">
        <v>81</v>
      </c>
      <c r="X18" s="224">
        <v>3.8730000000000001E-2</v>
      </c>
      <c r="Y18" s="151"/>
      <c r="Z18" s="40"/>
      <c r="AA18" s="40"/>
    </row>
    <row r="19" spans="2:27" ht="15.75" customHeight="1" x14ac:dyDescent="0.25">
      <c r="B19" s="79"/>
      <c r="C19" s="197" t="s">
        <v>190</v>
      </c>
      <c r="D19" s="198" t="s">
        <v>116</v>
      </c>
      <c r="E19" s="194">
        <v>1.9952000000000001E-2</v>
      </c>
      <c r="F19" s="29"/>
      <c r="G19" s="29"/>
      <c r="H19" s="29"/>
      <c r="I19" s="29"/>
      <c r="J19" s="29"/>
      <c r="K19" s="29"/>
      <c r="L19" s="29"/>
      <c r="M19" s="29"/>
      <c r="N19" s="29"/>
      <c r="O19" s="29"/>
      <c r="P19" s="29"/>
      <c r="Q19" s="29"/>
      <c r="R19" s="29"/>
      <c r="S19" s="29"/>
      <c r="T19" s="22"/>
      <c r="V19" s="151"/>
      <c r="W19" s="173" t="s">
        <v>113</v>
      </c>
      <c r="X19" s="224">
        <v>3.6625999999999992E-2</v>
      </c>
      <c r="Y19" s="151"/>
      <c r="Z19" s="40"/>
      <c r="AA19" s="40"/>
    </row>
    <row r="20" spans="2:27" ht="15" customHeight="1" x14ac:dyDescent="0.25">
      <c r="B20" s="79"/>
      <c r="C20" s="197" t="s">
        <v>253</v>
      </c>
      <c r="D20" s="198" t="s">
        <v>3</v>
      </c>
      <c r="E20" s="194">
        <v>1.9261E-2</v>
      </c>
      <c r="F20" s="29"/>
      <c r="G20" s="29"/>
      <c r="H20" s="29"/>
      <c r="I20" s="29"/>
      <c r="J20" s="29"/>
      <c r="K20" s="29"/>
      <c r="L20" s="29"/>
      <c r="M20" s="29"/>
      <c r="N20" s="29"/>
      <c r="O20" s="29"/>
      <c r="P20" s="29"/>
      <c r="Q20" s="29"/>
      <c r="R20" s="29"/>
      <c r="S20" s="29"/>
      <c r="T20" s="22"/>
      <c r="V20" s="151"/>
      <c r="W20" s="173" t="s">
        <v>4</v>
      </c>
      <c r="X20" s="224">
        <v>2.9211000000000001E-2</v>
      </c>
      <c r="Y20" s="151"/>
      <c r="Z20" s="40"/>
      <c r="AA20" s="40"/>
    </row>
    <row r="21" spans="2:27" ht="15" customHeight="1" x14ac:dyDescent="0.25">
      <c r="B21" s="79"/>
      <c r="C21" s="197" t="s">
        <v>383</v>
      </c>
      <c r="D21" s="198" t="s">
        <v>116</v>
      </c>
      <c r="E21" s="194">
        <v>1.8973E-2</v>
      </c>
      <c r="F21" s="29"/>
      <c r="G21" s="29"/>
      <c r="H21" s="29"/>
      <c r="I21" s="29"/>
      <c r="J21" s="29"/>
      <c r="K21" s="29"/>
      <c r="L21" s="29"/>
      <c r="M21" s="29"/>
      <c r="N21" s="29"/>
      <c r="O21" s="29"/>
      <c r="P21" s="29"/>
      <c r="Q21" s="29"/>
      <c r="R21" s="29"/>
      <c r="S21" s="29"/>
      <c r="T21" s="22"/>
      <c r="V21" s="151"/>
      <c r="W21" s="173" t="s">
        <v>12</v>
      </c>
      <c r="X21" s="224">
        <v>2.5256000000000001E-2</v>
      </c>
      <c r="Y21" s="151"/>
      <c r="Z21" s="40"/>
      <c r="AA21" s="40"/>
    </row>
    <row r="22" spans="2:27" ht="15" customHeight="1" x14ac:dyDescent="0.25">
      <c r="B22" s="79"/>
      <c r="C22" s="197" t="s">
        <v>136</v>
      </c>
      <c r="D22" s="198" t="s">
        <v>24</v>
      </c>
      <c r="E22" s="194">
        <v>1.8797999999999999E-2</v>
      </c>
      <c r="F22" s="29"/>
      <c r="G22" s="29"/>
      <c r="H22" s="29"/>
      <c r="I22" s="29"/>
      <c r="J22" s="29"/>
      <c r="K22" s="29"/>
      <c r="L22" s="29"/>
      <c r="M22" s="29"/>
      <c r="N22" s="29"/>
      <c r="O22" s="29"/>
      <c r="P22" s="29"/>
      <c r="Q22" s="29"/>
      <c r="R22" s="29"/>
      <c r="S22" s="29"/>
      <c r="T22" s="22"/>
      <c r="V22" s="151"/>
      <c r="W22" s="173" t="s">
        <v>179</v>
      </c>
      <c r="X22" s="224">
        <v>2.3591999999999998E-2</v>
      </c>
      <c r="Y22" s="151"/>
      <c r="Z22" s="40"/>
      <c r="AA22" s="40"/>
    </row>
    <row r="23" spans="2:27" ht="15" customHeight="1" x14ac:dyDescent="0.25">
      <c r="B23" s="79"/>
      <c r="C23" s="15"/>
      <c r="D23" s="16"/>
      <c r="E23" s="18"/>
      <c r="F23" s="29"/>
      <c r="G23" s="29"/>
      <c r="H23" s="29"/>
      <c r="I23" s="29"/>
      <c r="J23" s="29"/>
      <c r="K23" s="29"/>
      <c r="L23" s="29"/>
      <c r="M23" s="29"/>
      <c r="N23" s="29"/>
      <c r="O23" s="29"/>
      <c r="P23" s="29"/>
      <c r="Q23" s="29"/>
      <c r="R23" s="29"/>
      <c r="S23" s="29"/>
      <c r="T23" s="22"/>
      <c r="V23" s="151"/>
      <c r="W23" s="173" t="s">
        <v>115</v>
      </c>
      <c r="X23" s="224">
        <v>2.1975999999999999E-2</v>
      </c>
      <c r="Y23" s="151"/>
      <c r="Z23" s="40"/>
      <c r="AA23" s="40"/>
    </row>
    <row r="24" spans="2:27" ht="15" customHeight="1" x14ac:dyDescent="0.25">
      <c r="B24" s="79"/>
      <c r="C24" s="73" t="s">
        <v>55</v>
      </c>
      <c r="D24" s="74"/>
      <c r="E24" s="75">
        <f>SUM(E8:E23)</f>
        <v>0.34982500000000005</v>
      </c>
      <c r="F24" s="29"/>
      <c r="G24" s="29"/>
      <c r="H24" s="29"/>
      <c r="I24" s="29"/>
      <c r="J24" s="29"/>
      <c r="K24" s="29"/>
      <c r="L24" s="29"/>
      <c r="M24" s="29"/>
      <c r="N24" s="29"/>
      <c r="O24" s="29"/>
      <c r="P24" s="29"/>
      <c r="Q24" s="29"/>
      <c r="R24" s="29"/>
      <c r="S24" s="29"/>
      <c r="T24" s="22"/>
      <c r="V24" s="151"/>
      <c r="W24" s="173" t="s">
        <v>82</v>
      </c>
      <c r="X24" s="224">
        <v>2.0844999999999999E-2</v>
      </c>
      <c r="Y24" s="151"/>
      <c r="Z24" s="40"/>
      <c r="AA24" s="40"/>
    </row>
    <row r="25" spans="2:27" ht="15" customHeight="1" x14ac:dyDescent="0.25">
      <c r="B25" s="79"/>
      <c r="F25" s="29"/>
      <c r="G25" s="29"/>
      <c r="H25" s="29"/>
      <c r="I25" s="29"/>
      <c r="J25" s="29"/>
      <c r="K25" s="29"/>
      <c r="L25" s="29"/>
      <c r="M25" s="29"/>
      <c r="N25" s="29"/>
      <c r="O25" s="29"/>
      <c r="P25" s="29"/>
      <c r="Q25" s="29"/>
      <c r="R25" s="29"/>
      <c r="S25" s="29"/>
      <c r="T25" s="22"/>
      <c r="V25" s="151"/>
      <c r="W25" s="173" t="s">
        <v>80</v>
      </c>
      <c r="X25" s="224">
        <v>1.7961000000000001E-2</v>
      </c>
      <c r="Y25" s="151"/>
      <c r="Z25" s="40"/>
      <c r="AA25" s="40"/>
    </row>
    <row r="26" spans="2:27" ht="15" customHeight="1" x14ac:dyDescent="0.25">
      <c r="B26" s="79"/>
      <c r="F26" s="29"/>
      <c r="G26" s="29"/>
      <c r="H26" s="29"/>
      <c r="I26" s="29"/>
      <c r="J26" s="29"/>
      <c r="K26" s="29"/>
      <c r="L26" s="29"/>
      <c r="M26" s="29"/>
      <c r="N26" s="29"/>
      <c r="O26" s="29"/>
      <c r="P26" s="29"/>
      <c r="Q26" s="29"/>
      <c r="R26" s="29"/>
      <c r="S26" s="29"/>
      <c r="T26" s="22"/>
      <c r="V26" s="151"/>
      <c r="W26" s="173" t="s">
        <v>109</v>
      </c>
      <c r="X26" s="224">
        <v>1.5906E-2</v>
      </c>
      <c r="Y26" s="151"/>
      <c r="Z26" s="40"/>
      <c r="AA26" s="40"/>
    </row>
    <row r="27" spans="2:27" ht="15" customHeight="1" x14ac:dyDescent="0.25">
      <c r="B27" s="79"/>
      <c r="F27" s="29"/>
      <c r="G27" s="29"/>
      <c r="H27" s="29"/>
      <c r="I27" s="29"/>
      <c r="J27" s="29"/>
      <c r="K27" s="29"/>
      <c r="L27" s="29"/>
      <c r="M27" s="29"/>
      <c r="N27" s="29"/>
      <c r="O27" s="29"/>
      <c r="P27" s="29"/>
      <c r="Q27" s="29"/>
      <c r="R27" s="29"/>
      <c r="S27" s="29"/>
      <c r="T27" s="22"/>
      <c r="V27" s="151"/>
      <c r="W27" s="173" t="s">
        <v>10</v>
      </c>
      <c r="X27" s="224">
        <v>1.4958000000000001E-2</v>
      </c>
      <c r="Y27" s="151"/>
      <c r="Z27" s="40"/>
      <c r="AA27" s="40"/>
    </row>
    <row r="28" spans="2:27" ht="15" customHeight="1" x14ac:dyDescent="0.25">
      <c r="B28" s="79"/>
      <c r="F28" s="29"/>
      <c r="G28" s="29"/>
      <c r="H28" s="29"/>
      <c r="I28" s="29"/>
      <c r="J28" s="29"/>
      <c r="K28" s="29"/>
      <c r="L28" s="29"/>
      <c r="M28" s="29"/>
      <c r="N28" s="29"/>
      <c r="O28" s="29"/>
      <c r="P28" s="29"/>
      <c r="Q28" s="29"/>
      <c r="R28" s="29"/>
      <c r="S28" s="29"/>
      <c r="T28" s="22"/>
      <c r="V28" s="151"/>
      <c r="W28" s="173" t="s">
        <v>134</v>
      </c>
      <c r="X28" s="224">
        <v>1.3212E-2</v>
      </c>
      <c r="Y28" s="151"/>
      <c r="Z28" s="40"/>
      <c r="AA28" s="40"/>
    </row>
    <row r="29" spans="2:27" ht="15" customHeight="1" x14ac:dyDescent="0.25">
      <c r="B29" s="79"/>
      <c r="F29" s="29"/>
      <c r="G29" s="29"/>
      <c r="H29" s="29"/>
      <c r="I29" s="29"/>
      <c r="J29" s="29"/>
      <c r="K29" s="29"/>
      <c r="L29" s="29"/>
      <c r="M29" s="29"/>
      <c r="N29" s="29"/>
      <c r="O29" s="29"/>
      <c r="P29" s="29"/>
      <c r="Q29" s="29"/>
      <c r="R29" s="29"/>
      <c r="S29" s="29"/>
      <c r="T29" s="22"/>
      <c r="V29" s="151"/>
      <c r="W29" s="173" t="s">
        <v>111</v>
      </c>
      <c r="X29" s="224">
        <v>1.2990000000000002E-2</v>
      </c>
      <c r="Y29" s="151"/>
      <c r="Z29" s="40"/>
      <c r="AA29" s="40"/>
    </row>
    <row r="30" spans="2:27" ht="15" customHeight="1" x14ac:dyDescent="0.25">
      <c r="B30" s="79"/>
      <c r="F30" s="29"/>
      <c r="G30" s="29"/>
      <c r="H30" s="29"/>
      <c r="I30" s="29"/>
      <c r="J30" s="29"/>
      <c r="K30" s="29"/>
      <c r="L30" s="29"/>
      <c r="M30" s="29"/>
      <c r="N30" s="29"/>
      <c r="O30" s="29"/>
      <c r="P30" s="29"/>
      <c r="Q30" s="29"/>
      <c r="R30" s="29"/>
      <c r="S30" s="29"/>
      <c r="T30" s="22"/>
      <c r="V30" s="151"/>
      <c r="W30" s="173" t="s">
        <v>84</v>
      </c>
      <c r="X30" s="224">
        <v>1.0113E-2</v>
      </c>
      <c r="Y30" s="151"/>
      <c r="Z30" s="40"/>
      <c r="AA30" s="40"/>
    </row>
    <row r="31" spans="2:27" ht="15" customHeight="1" x14ac:dyDescent="0.25">
      <c r="B31" s="79"/>
      <c r="F31" s="29"/>
      <c r="G31" s="29"/>
      <c r="H31" s="29"/>
      <c r="I31" s="29"/>
      <c r="J31" s="29"/>
      <c r="K31" s="29"/>
      <c r="L31" s="29"/>
      <c r="M31" s="29"/>
      <c r="N31" s="29"/>
      <c r="O31" s="29"/>
      <c r="P31" s="29"/>
      <c r="Q31" s="29"/>
      <c r="R31" s="29"/>
      <c r="S31" s="29"/>
      <c r="T31" s="22"/>
      <c r="V31" s="151"/>
      <c r="W31" s="173" t="s">
        <v>83</v>
      </c>
      <c r="X31" s="224">
        <v>9.9019999999999993E-3</v>
      </c>
      <c r="Y31" s="151"/>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73" t="s">
        <v>103</v>
      </c>
      <c r="X32" s="224">
        <v>8.8120000000000004E-3</v>
      </c>
    </row>
    <row r="33" spans="2:24" ht="15" customHeight="1" thickBot="1" x14ac:dyDescent="0.3">
      <c r="W33" s="173" t="s">
        <v>120</v>
      </c>
      <c r="X33" s="224">
        <v>7.3860000000000002E-3</v>
      </c>
    </row>
    <row r="34" spans="2:24" ht="15" customHeight="1" x14ac:dyDescent="0.25">
      <c r="B34" s="306" t="s">
        <v>177</v>
      </c>
      <c r="C34" s="307"/>
      <c r="D34" s="307"/>
      <c r="E34" s="307"/>
      <c r="F34" s="307"/>
      <c r="G34" s="307"/>
      <c r="H34" s="307"/>
      <c r="I34" s="307"/>
      <c r="J34" s="307"/>
      <c r="K34" s="307"/>
      <c r="L34" s="307"/>
      <c r="M34" s="307"/>
      <c r="N34" s="307"/>
      <c r="O34" s="307"/>
      <c r="P34" s="307"/>
      <c r="Q34" s="307"/>
      <c r="R34" s="308"/>
      <c r="W34" s="173" t="s">
        <v>11</v>
      </c>
      <c r="X34" s="224">
        <v>6.6509999999999998E-3</v>
      </c>
    </row>
    <row r="35" spans="2:24" ht="15" customHeight="1" x14ac:dyDescent="0.25">
      <c r="B35" s="309"/>
      <c r="C35" s="310"/>
      <c r="D35" s="310"/>
      <c r="E35" s="310"/>
      <c r="F35" s="310"/>
      <c r="G35" s="310"/>
      <c r="H35" s="310"/>
      <c r="I35" s="310"/>
      <c r="J35" s="310"/>
      <c r="K35" s="310"/>
      <c r="L35" s="310"/>
      <c r="M35" s="310"/>
      <c r="N35" s="310"/>
      <c r="O35" s="310"/>
      <c r="P35" s="310"/>
      <c r="Q35" s="310"/>
      <c r="R35" s="311"/>
      <c r="W35" s="173" t="s">
        <v>125</v>
      </c>
      <c r="X35" s="224">
        <v>4.8570000000000002E-3</v>
      </c>
    </row>
    <row r="36" spans="2:24" ht="15" customHeight="1" x14ac:dyDescent="0.25">
      <c r="B36" s="309"/>
      <c r="C36" s="310"/>
      <c r="D36" s="310"/>
      <c r="E36" s="310"/>
      <c r="F36" s="310"/>
      <c r="G36" s="310"/>
      <c r="H36" s="310"/>
      <c r="I36" s="310"/>
      <c r="J36" s="310"/>
      <c r="K36" s="310"/>
      <c r="L36" s="310"/>
      <c r="M36" s="310"/>
      <c r="N36" s="310"/>
      <c r="O36" s="310"/>
      <c r="P36" s="310"/>
      <c r="Q36" s="310"/>
      <c r="R36" s="311"/>
      <c r="W36" s="173" t="s">
        <v>180</v>
      </c>
      <c r="X36" s="224">
        <v>4.5319999999999996E-3</v>
      </c>
    </row>
    <row r="37" spans="2:24" ht="15" customHeight="1" x14ac:dyDescent="0.25">
      <c r="B37" s="309"/>
      <c r="C37" s="310"/>
      <c r="D37" s="310"/>
      <c r="E37" s="310"/>
      <c r="F37" s="310"/>
      <c r="G37" s="310"/>
      <c r="H37" s="310"/>
      <c r="I37" s="310"/>
      <c r="J37" s="310"/>
      <c r="K37" s="310"/>
      <c r="L37" s="310"/>
      <c r="M37" s="310"/>
      <c r="N37" s="310"/>
      <c r="O37" s="310"/>
      <c r="P37" s="310"/>
      <c r="Q37" s="310"/>
      <c r="R37" s="311"/>
      <c r="W37" s="173" t="s">
        <v>105</v>
      </c>
      <c r="X37" s="224">
        <v>4.8899999999999996E-4</v>
      </c>
    </row>
    <row r="38" spans="2:24" ht="15" customHeight="1" x14ac:dyDescent="0.25">
      <c r="B38" s="309"/>
      <c r="C38" s="310"/>
      <c r="D38" s="310"/>
      <c r="E38" s="310"/>
      <c r="F38" s="310"/>
      <c r="G38" s="310"/>
      <c r="H38" s="310"/>
      <c r="I38" s="310"/>
      <c r="J38" s="310"/>
      <c r="K38" s="310"/>
      <c r="L38" s="310"/>
      <c r="M38" s="310"/>
      <c r="N38" s="310"/>
      <c r="O38" s="310"/>
      <c r="P38" s="310"/>
      <c r="Q38" s="310"/>
      <c r="R38" s="311"/>
      <c r="W38" s="173" t="s">
        <v>123</v>
      </c>
      <c r="X38" s="224">
        <v>9.1799999999999998E-4</v>
      </c>
    </row>
    <row r="39" spans="2:24" ht="15" customHeight="1" x14ac:dyDescent="0.25">
      <c r="B39" s="309"/>
      <c r="C39" s="310"/>
      <c r="D39" s="310"/>
      <c r="E39" s="310"/>
      <c r="F39" s="310"/>
      <c r="G39" s="310"/>
      <c r="H39" s="310"/>
      <c r="I39" s="310"/>
      <c r="J39" s="310"/>
      <c r="K39" s="310"/>
      <c r="L39" s="310"/>
      <c r="M39" s="310"/>
      <c r="N39" s="310"/>
      <c r="O39" s="310"/>
      <c r="P39" s="310"/>
      <c r="Q39" s="310"/>
      <c r="R39" s="311"/>
      <c r="W39" s="173" t="s">
        <v>105</v>
      </c>
      <c r="X39" s="224">
        <v>5.3799999999999996E-4</v>
      </c>
    </row>
    <row r="40" spans="2:24" ht="21.75" customHeight="1" thickBot="1" x14ac:dyDescent="0.3">
      <c r="B40" s="312"/>
      <c r="C40" s="313"/>
      <c r="D40" s="313"/>
      <c r="E40" s="313"/>
      <c r="F40" s="313"/>
      <c r="G40" s="313"/>
      <c r="H40" s="313"/>
      <c r="I40" s="313"/>
      <c r="J40" s="313"/>
      <c r="K40" s="313"/>
      <c r="L40" s="313"/>
      <c r="M40" s="313"/>
      <c r="N40" s="313"/>
      <c r="O40" s="313"/>
      <c r="P40" s="313"/>
      <c r="Q40" s="313"/>
      <c r="R40" s="314"/>
      <c r="X40" s="172"/>
    </row>
    <row r="41" spans="2:24" ht="15" customHeight="1" x14ac:dyDescent="0.25">
      <c r="X41" s="172"/>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sheetPr codeName="Sheet20"/>
  <dimension ref="A1:AA65"/>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315" t="s">
        <v>163</v>
      </c>
      <c r="D3" s="316"/>
      <c r="E3" s="316"/>
      <c r="F3" s="316"/>
      <c r="G3" s="316"/>
      <c r="H3" s="316"/>
      <c r="I3" s="316"/>
      <c r="J3" s="316"/>
      <c r="K3" s="316"/>
      <c r="L3" s="316"/>
      <c r="M3" s="316"/>
      <c r="N3" s="316"/>
      <c r="O3" s="316"/>
      <c r="P3" s="316"/>
      <c r="Q3" s="316"/>
      <c r="R3" s="316"/>
      <c r="S3" s="316"/>
      <c r="T3" s="22"/>
      <c r="V3" s="40"/>
      <c r="W3" s="40"/>
      <c r="X3" s="40"/>
      <c r="Y3" s="40"/>
      <c r="Z3" s="40"/>
      <c r="AA3" s="40"/>
    </row>
    <row r="4" spans="1:27" ht="15.75" customHeight="1" x14ac:dyDescent="0.25">
      <c r="B4" s="79"/>
      <c r="C4" s="67" t="s">
        <v>430</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11" t="s">
        <v>431</v>
      </c>
      <c r="D5" s="317" t="s">
        <v>390</v>
      </c>
      <c r="E5" s="317"/>
      <c r="F5" s="29"/>
      <c r="G5" s="29"/>
      <c r="H5" s="29"/>
      <c r="I5" s="29"/>
      <c r="J5" s="29"/>
      <c r="K5" s="29"/>
      <c r="L5" s="29"/>
      <c r="M5" s="29"/>
      <c r="N5" s="29"/>
      <c r="O5" s="29"/>
      <c r="P5" s="29"/>
      <c r="Q5" s="29"/>
      <c r="R5" s="29"/>
      <c r="S5" s="29"/>
      <c r="T5" s="22"/>
      <c r="V5" s="151"/>
      <c r="W5" s="151"/>
      <c r="X5" s="151"/>
      <c r="Y5" s="151"/>
      <c r="Z5" s="40"/>
      <c r="AA5" s="40"/>
    </row>
    <row r="6" spans="1:27" ht="15" customHeight="1" x14ac:dyDescent="0.25">
      <c r="B6" s="79"/>
      <c r="C6" s="29"/>
      <c r="D6" s="29"/>
      <c r="E6" s="29"/>
      <c r="F6" s="29"/>
      <c r="G6" s="29"/>
      <c r="H6" s="29"/>
      <c r="I6" s="29"/>
      <c r="J6" s="29"/>
      <c r="K6" s="29"/>
      <c r="L6" s="29"/>
      <c r="M6" s="29"/>
      <c r="N6" s="29"/>
      <c r="O6" s="29"/>
      <c r="P6" s="29"/>
      <c r="Q6" s="29"/>
      <c r="R6" s="29"/>
      <c r="S6" s="29"/>
      <c r="T6" s="22"/>
      <c r="V6" s="151"/>
      <c r="W6" s="151"/>
      <c r="X6" s="151"/>
      <c r="Y6" s="151"/>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1"/>
      <c r="W7" s="151" t="s">
        <v>22</v>
      </c>
      <c r="X7" s="152" t="s">
        <v>2</v>
      </c>
      <c r="Y7" s="151"/>
      <c r="Z7" s="40"/>
      <c r="AA7" s="40"/>
    </row>
    <row r="8" spans="1:27" ht="15" customHeight="1" x14ac:dyDescent="0.25">
      <c r="B8" s="79"/>
      <c r="C8" s="195" t="s">
        <v>29</v>
      </c>
      <c r="D8" s="196" t="s">
        <v>3</v>
      </c>
      <c r="E8" s="193">
        <v>5.9077999999999999E-2</v>
      </c>
      <c r="F8" s="29"/>
      <c r="G8" s="29"/>
      <c r="H8" s="29"/>
      <c r="I8" s="29"/>
      <c r="J8" s="29"/>
      <c r="K8" s="29"/>
      <c r="L8" s="29"/>
      <c r="M8" s="29"/>
      <c r="N8" s="29"/>
      <c r="O8" s="29"/>
      <c r="P8" s="29"/>
      <c r="Q8" s="29"/>
      <c r="R8" s="29"/>
      <c r="S8" s="29"/>
      <c r="T8" s="22"/>
      <c r="V8" s="151"/>
      <c r="W8" s="173" t="s">
        <v>3</v>
      </c>
      <c r="X8" s="224">
        <v>0.176348</v>
      </c>
      <c r="Y8" s="151"/>
      <c r="Z8" s="40"/>
      <c r="AA8" s="40"/>
    </row>
    <row r="9" spans="1:27" ht="15.75" customHeight="1" x14ac:dyDescent="0.25">
      <c r="B9" s="79"/>
      <c r="C9" s="197" t="s">
        <v>31</v>
      </c>
      <c r="D9" s="198" t="s">
        <v>6</v>
      </c>
      <c r="E9" s="194">
        <v>4.3160999999999998E-2</v>
      </c>
      <c r="F9" s="29"/>
      <c r="G9" s="29"/>
      <c r="H9" s="29"/>
      <c r="I9" s="29"/>
      <c r="J9" s="29"/>
      <c r="K9" s="29"/>
      <c r="L9" s="29"/>
      <c r="M9" s="29"/>
      <c r="N9" s="29"/>
      <c r="O9" s="29"/>
      <c r="P9" s="29"/>
      <c r="Q9" s="29"/>
      <c r="R9" s="29"/>
      <c r="S9" s="29"/>
      <c r="T9" s="22"/>
      <c r="V9" s="151"/>
      <c r="W9" s="173" t="s">
        <v>108</v>
      </c>
      <c r="X9" s="224">
        <v>7.6242000000000004E-2</v>
      </c>
      <c r="Y9" s="151"/>
      <c r="Z9" s="40"/>
      <c r="AA9" s="40"/>
    </row>
    <row r="10" spans="1:27" ht="15" customHeight="1" x14ac:dyDescent="0.25">
      <c r="B10" s="79"/>
      <c r="C10" s="197" t="s">
        <v>36</v>
      </c>
      <c r="D10" s="198" t="s">
        <v>3</v>
      </c>
      <c r="E10" s="194">
        <v>2.9609E-2</v>
      </c>
      <c r="F10" s="29"/>
      <c r="G10" s="29"/>
      <c r="H10" s="29"/>
      <c r="I10" s="29"/>
      <c r="J10" s="29"/>
      <c r="K10" s="29"/>
      <c r="L10" s="29"/>
      <c r="M10" s="29"/>
      <c r="N10" s="29"/>
      <c r="O10" s="29"/>
      <c r="P10" s="29"/>
      <c r="Q10" s="29"/>
      <c r="R10" s="29"/>
      <c r="S10" s="29"/>
      <c r="T10" s="22"/>
      <c r="V10" s="151"/>
      <c r="W10" s="173" t="s">
        <v>4</v>
      </c>
      <c r="X10" s="224">
        <v>6.3744000000000009E-2</v>
      </c>
      <c r="Y10" s="151"/>
      <c r="Z10" s="40"/>
      <c r="AA10" s="40"/>
    </row>
    <row r="11" spans="1:27" ht="15" customHeight="1" x14ac:dyDescent="0.25">
      <c r="B11" s="79"/>
      <c r="C11" s="197" t="s">
        <v>32</v>
      </c>
      <c r="D11" s="198" t="s">
        <v>3</v>
      </c>
      <c r="E11" s="194">
        <v>2.7621E-2</v>
      </c>
      <c r="F11" s="29"/>
      <c r="G11" s="29"/>
      <c r="H11" s="29"/>
      <c r="I11" s="29"/>
      <c r="J11" s="29"/>
      <c r="K11" s="29"/>
      <c r="L11" s="29"/>
      <c r="M11" s="29"/>
      <c r="N11" s="29"/>
      <c r="O11" s="29"/>
      <c r="P11" s="29"/>
      <c r="Q11" s="29"/>
      <c r="R11" s="29"/>
      <c r="S11" s="29"/>
      <c r="T11" s="22"/>
      <c r="V11" s="151"/>
      <c r="W11" s="173" t="s">
        <v>6</v>
      </c>
      <c r="X11" s="224">
        <v>5.4154999999999995E-2</v>
      </c>
      <c r="Y11" s="151"/>
      <c r="Z11" s="40"/>
      <c r="AA11" s="40"/>
    </row>
    <row r="12" spans="1:27" ht="15" customHeight="1" x14ac:dyDescent="0.25">
      <c r="B12" s="79"/>
      <c r="C12" s="197" t="s">
        <v>35</v>
      </c>
      <c r="D12" s="198" t="s">
        <v>3</v>
      </c>
      <c r="E12" s="194">
        <v>2.5763000000000001E-2</v>
      </c>
      <c r="F12" s="29"/>
      <c r="G12" s="29"/>
      <c r="H12" s="29"/>
      <c r="I12" s="29"/>
      <c r="J12" s="29"/>
      <c r="K12" s="29"/>
      <c r="L12" s="29"/>
      <c r="M12" s="29"/>
      <c r="N12" s="29"/>
      <c r="O12" s="29"/>
      <c r="P12" s="29"/>
      <c r="Q12" s="29"/>
      <c r="R12" s="29"/>
      <c r="S12" s="29"/>
      <c r="T12" s="22"/>
      <c r="V12" s="151"/>
      <c r="W12" s="173" t="s">
        <v>83</v>
      </c>
      <c r="X12" s="224">
        <v>4.7784E-2</v>
      </c>
      <c r="Y12" s="151"/>
      <c r="Z12" s="40"/>
      <c r="AA12" s="40"/>
    </row>
    <row r="13" spans="1:27" ht="15" customHeight="1" x14ac:dyDescent="0.25">
      <c r="B13" s="79"/>
      <c r="C13" s="197" t="s">
        <v>332</v>
      </c>
      <c r="D13" s="198" t="s">
        <v>83</v>
      </c>
      <c r="E13" s="194">
        <v>2.0095999999999999E-2</v>
      </c>
      <c r="F13" s="29"/>
      <c r="G13" s="29"/>
      <c r="H13" s="29"/>
      <c r="I13" s="29"/>
      <c r="J13" s="29"/>
      <c r="K13" s="29"/>
      <c r="L13" s="29"/>
      <c r="M13" s="29"/>
      <c r="N13" s="29"/>
      <c r="O13" s="29"/>
      <c r="P13" s="29"/>
      <c r="Q13" s="29"/>
      <c r="R13" s="29"/>
      <c r="S13" s="29"/>
      <c r="T13" s="22"/>
      <c r="V13" s="151"/>
      <c r="W13" s="173" t="s">
        <v>104</v>
      </c>
      <c r="X13" s="224">
        <v>4.1699E-2</v>
      </c>
      <c r="Y13" s="151"/>
      <c r="Z13" s="40"/>
      <c r="AA13" s="40"/>
    </row>
    <row r="14" spans="1:27" ht="15" customHeight="1" x14ac:dyDescent="0.25">
      <c r="B14" s="79"/>
      <c r="C14" s="197" t="s">
        <v>33</v>
      </c>
      <c r="D14" s="198" t="s">
        <v>104</v>
      </c>
      <c r="E14" s="194">
        <v>1.985E-2</v>
      </c>
      <c r="F14" s="29"/>
      <c r="G14" s="29"/>
      <c r="H14" s="29"/>
      <c r="I14" s="29"/>
      <c r="J14" s="29"/>
      <c r="K14" s="29"/>
      <c r="L14" s="29"/>
      <c r="M14" s="29"/>
      <c r="N14" s="29"/>
      <c r="O14" s="29"/>
      <c r="P14" s="29"/>
      <c r="Q14" s="29"/>
      <c r="R14" s="29"/>
      <c r="S14" s="29"/>
      <c r="T14" s="22"/>
      <c r="V14" s="151"/>
      <c r="W14" s="173" t="s">
        <v>26</v>
      </c>
      <c r="X14" s="224">
        <v>3.8690000000000002E-2</v>
      </c>
      <c r="Y14" s="151"/>
      <c r="Z14" s="40"/>
      <c r="AA14" s="40"/>
    </row>
    <row r="15" spans="1:27" ht="15.75" customHeight="1" x14ac:dyDescent="0.25">
      <c r="B15" s="79"/>
      <c r="C15" s="197" t="s">
        <v>28</v>
      </c>
      <c r="D15" s="198" t="s">
        <v>104</v>
      </c>
      <c r="E15" s="194">
        <v>1.9404999999999999E-2</v>
      </c>
      <c r="F15" s="29"/>
      <c r="G15" s="29"/>
      <c r="H15" s="29"/>
      <c r="I15" s="29"/>
      <c r="J15" s="29"/>
      <c r="K15" s="29"/>
      <c r="L15" s="29"/>
      <c r="M15" s="29"/>
      <c r="N15" s="29"/>
      <c r="O15" s="29"/>
      <c r="P15" s="29"/>
      <c r="Q15" s="29"/>
      <c r="R15" s="29"/>
      <c r="S15" s="29"/>
      <c r="T15" s="22"/>
      <c r="V15" s="151"/>
      <c r="W15" s="173" t="s">
        <v>107</v>
      </c>
      <c r="X15" s="224">
        <v>3.7962999999999997E-2</v>
      </c>
      <c r="Y15" s="151"/>
      <c r="Z15" s="40"/>
      <c r="AA15" s="40"/>
    </row>
    <row r="16" spans="1:27" ht="15" customHeight="1" x14ac:dyDescent="0.25">
      <c r="B16" s="79"/>
      <c r="C16" s="197" t="s">
        <v>228</v>
      </c>
      <c r="D16" s="198" t="s">
        <v>26</v>
      </c>
      <c r="E16" s="194">
        <v>1.8335000000000001E-2</v>
      </c>
      <c r="F16" s="29"/>
      <c r="G16" s="29"/>
      <c r="H16" s="29"/>
      <c r="I16" s="29"/>
      <c r="J16" s="29"/>
      <c r="K16" s="29"/>
      <c r="L16" s="29"/>
      <c r="M16" s="29"/>
      <c r="N16" s="29"/>
      <c r="O16" s="29"/>
      <c r="P16" s="29"/>
      <c r="Q16" s="29"/>
      <c r="R16" s="29"/>
      <c r="S16" s="29"/>
      <c r="T16" s="22"/>
      <c r="V16" s="151"/>
      <c r="W16" s="173" t="s">
        <v>16</v>
      </c>
      <c r="X16" s="224">
        <v>3.7798999999999999E-2</v>
      </c>
      <c r="Y16" s="151"/>
      <c r="Z16" s="40"/>
      <c r="AA16" s="40"/>
    </row>
    <row r="17" spans="2:27" ht="15.75" customHeight="1" x14ac:dyDescent="0.25">
      <c r="B17" s="79"/>
      <c r="C17" s="197" t="s">
        <v>356</v>
      </c>
      <c r="D17" s="198" t="s">
        <v>4</v>
      </c>
      <c r="E17" s="194">
        <v>1.6198000000000001E-2</v>
      </c>
      <c r="F17" s="29"/>
      <c r="G17" s="29"/>
      <c r="H17" s="29"/>
      <c r="I17" s="29"/>
      <c r="J17" s="29"/>
      <c r="K17" s="29"/>
      <c r="L17" s="29"/>
      <c r="M17" s="29"/>
      <c r="N17" s="29"/>
      <c r="O17" s="29"/>
      <c r="P17" s="29"/>
      <c r="Q17" s="29"/>
      <c r="R17" s="29"/>
      <c r="S17" s="29"/>
      <c r="T17" s="22"/>
      <c r="V17" s="151"/>
      <c r="W17" s="173" t="s">
        <v>24</v>
      </c>
      <c r="X17" s="224">
        <v>2.7654999999999999E-2</v>
      </c>
      <c r="Y17" s="151"/>
      <c r="Z17" s="40"/>
      <c r="AA17" s="40"/>
    </row>
    <row r="18" spans="2:27" ht="15.75" x14ac:dyDescent="0.25">
      <c r="B18" s="79"/>
      <c r="C18" s="197" t="s">
        <v>295</v>
      </c>
      <c r="D18" s="198" t="s">
        <v>26</v>
      </c>
      <c r="E18" s="194">
        <v>1.5292E-2</v>
      </c>
      <c r="F18" s="29"/>
      <c r="G18" s="29"/>
      <c r="H18" s="29"/>
      <c r="I18" s="29"/>
      <c r="J18" s="29"/>
      <c r="K18" s="29"/>
      <c r="L18" s="29"/>
      <c r="M18" s="29"/>
      <c r="N18" s="29"/>
      <c r="O18" s="29"/>
      <c r="P18" s="29"/>
      <c r="Q18" s="29"/>
      <c r="R18" s="29"/>
      <c r="S18" s="29"/>
      <c r="T18" s="22"/>
      <c r="V18" s="151"/>
      <c r="W18" s="173" t="s">
        <v>105</v>
      </c>
      <c r="X18" s="224">
        <v>2.733E-2</v>
      </c>
      <c r="Y18" s="151"/>
      <c r="Z18" s="40"/>
      <c r="AA18" s="40"/>
    </row>
    <row r="19" spans="2:27" ht="15.75" customHeight="1" x14ac:dyDescent="0.25">
      <c r="B19" s="79"/>
      <c r="C19" s="197" t="s">
        <v>235</v>
      </c>
      <c r="D19" s="198" t="s">
        <v>103</v>
      </c>
      <c r="E19" s="194">
        <v>1.5106E-2</v>
      </c>
      <c r="F19" s="29"/>
      <c r="G19" s="29"/>
      <c r="H19" s="29"/>
      <c r="I19" s="29"/>
      <c r="J19" s="29"/>
      <c r="K19" s="29"/>
      <c r="L19" s="29"/>
      <c r="M19" s="29"/>
      <c r="N19" s="29"/>
      <c r="O19" s="29"/>
      <c r="P19" s="29"/>
      <c r="Q19" s="29"/>
      <c r="R19" s="29"/>
      <c r="S19" s="29"/>
      <c r="T19" s="22"/>
      <c r="V19" s="151"/>
      <c r="W19" s="173" t="s">
        <v>109</v>
      </c>
      <c r="X19" s="224">
        <v>2.6585999999999999E-2</v>
      </c>
      <c r="Y19" s="151"/>
      <c r="Z19" s="40"/>
      <c r="AA19" s="40"/>
    </row>
    <row r="20" spans="2:27" ht="15" customHeight="1" x14ac:dyDescent="0.25">
      <c r="B20" s="79"/>
      <c r="C20" s="197" t="s">
        <v>141</v>
      </c>
      <c r="D20" s="198" t="s">
        <v>109</v>
      </c>
      <c r="E20" s="194">
        <v>1.4819000000000001E-2</v>
      </c>
      <c r="F20" s="29"/>
      <c r="G20" s="29"/>
      <c r="H20" s="29"/>
      <c r="I20" s="29"/>
      <c r="J20" s="29"/>
      <c r="K20" s="29"/>
      <c r="L20" s="29"/>
      <c r="M20" s="29"/>
      <c r="N20" s="29"/>
      <c r="O20" s="29"/>
      <c r="P20" s="29"/>
      <c r="Q20" s="29"/>
      <c r="R20" s="29"/>
      <c r="S20" s="29"/>
      <c r="T20" s="22"/>
      <c r="V20" s="151"/>
      <c r="W20" s="173" t="s">
        <v>23</v>
      </c>
      <c r="X20" s="224">
        <v>2.6499999999999999E-2</v>
      </c>
      <c r="Y20" s="151"/>
      <c r="Z20" s="40"/>
      <c r="AA20" s="40"/>
    </row>
    <row r="21" spans="2:27" ht="15" customHeight="1" x14ac:dyDescent="0.25">
      <c r="B21" s="79"/>
      <c r="C21" s="197" t="s">
        <v>34</v>
      </c>
      <c r="D21" s="198" t="s">
        <v>23</v>
      </c>
      <c r="E21" s="194">
        <v>1.4744E-2</v>
      </c>
      <c r="F21" s="29"/>
      <c r="G21" s="29"/>
      <c r="H21" s="29"/>
      <c r="I21" s="29"/>
      <c r="J21" s="29"/>
      <c r="K21" s="29"/>
      <c r="L21" s="29"/>
      <c r="M21" s="29"/>
      <c r="N21" s="29"/>
      <c r="O21" s="29"/>
      <c r="P21" s="29"/>
      <c r="Q21" s="29"/>
      <c r="R21" s="29"/>
      <c r="S21" s="29"/>
      <c r="T21" s="22"/>
      <c r="V21" s="151"/>
      <c r="W21" s="173" t="s">
        <v>115</v>
      </c>
      <c r="X21" s="224">
        <v>2.6397999999999998E-2</v>
      </c>
      <c r="Y21" s="151"/>
      <c r="Z21" s="40"/>
      <c r="AA21" s="40"/>
    </row>
    <row r="22" spans="2:27" ht="15" customHeight="1" x14ac:dyDescent="0.25">
      <c r="B22" s="79"/>
      <c r="C22" s="197" t="s">
        <v>236</v>
      </c>
      <c r="D22" s="198" t="s">
        <v>105</v>
      </c>
      <c r="E22" s="194">
        <v>1.4512000000000001E-2</v>
      </c>
      <c r="F22" s="29"/>
      <c r="G22" s="29"/>
      <c r="H22" s="29"/>
      <c r="I22" s="29"/>
      <c r="J22" s="29"/>
      <c r="K22" s="29"/>
      <c r="L22" s="29"/>
      <c r="M22" s="29"/>
      <c r="N22" s="29"/>
      <c r="O22" s="29"/>
      <c r="P22" s="29"/>
      <c r="Q22" s="29"/>
      <c r="R22" s="29"/>
      <c r="S22" s="29"/>
      <c r="T22" s="22"/>
      <c r="V22" s="151"/>
      <c r="W22" s="173" t="s">
        <v>110</v>
      </c>
      <c r="X22" s="224">
        <v>2.5972999999999996E-2</v>
      </c>
      <c r="Y22" s="151"/>
      <c r="Z22" s="40"/>
      <c r="AA22" s="40"/>
    </row>
    <row r="23" spans="2:27" ht="15" customHeight="1" x14ac:dyDescent="0.25">
      <c r="B23" s="79"/>
      <c r="C23" s="71"/>
      <c r="D23" s="71"/>
      <c r="E23" s="146"/>
      <c r="F23" s="29"/>
      <c r="G23" s="29"/>
      <c r="H23" s="29"/>
      <c r="I23" s="29"/>
      <c r="J23" s="29"/>
      <c r="K23" s="29"/>
      <c r="L23" s="29"/>
      <c r="M23" s="29"/>
      <c r="N23" s="29"/>
      <c r="O23" s="29"/>
      <c r="P23" s="29"/>
      <c r="Q23" s="29"/>
      <c r="R23" s="29"/>
      <c r="S23" s="29"/>
      <c r="T23" s="22"/>
      <c r="V23" s="151"/>
      <c r="W23" s="173" t="s">
        <v>134</v>
      </c>
      <c r="X23" s="224">
        <v>2.1263000000000001E-2</v>
      </c>
      <c r="Y23" s="151"/>
      <c r="Z23" s="40"/>
      <c r="AA23" s="40"/>
    </row>
    <row r="24" spans="2:27" ht="15" customHeight="1" x14ac:dyDescent="0.25">
      <c r="B24" s="79"/>
      <c r="C24" s="73" t="s">
        <v>55</v>
      </c>
      <c r="D24" s="74"/>
      <c r="E24" s="75">
        <f>SUM(E8:E22)</f>
        <v>0.35358900000000004</v>
      </c>
      <c r="F24" s="29"/>
      <c r="G24" s="29"/>
      <c r="H24" s="29"/>
      <c r="I24" s="29"/>
      <c r="J24" s="29"/>
      <c r="K24" s="29"/>
      <c r="L24" s="29"/>
      <c r="M24" s="29"/>
      <c r="N24" s="29"/>
      <c r="O24" s="29"/>
      <c r="P24" s="29"/>
      <c r="Q24" s="29"/>
      <c r="R24" s="29"/>
      <c r="S24" s="29"/>
      <c r="T24" s="22"/>
      <c r="V24" s="151"/>
      <c r="W24" s="173" t="s">
        <v>12</v>
      </c>
      <c r="X24" s="224">
        <v>1.7149000000000001E-2</v>
      </c>
      <c r="Y24" s="151"/>
      <c r="Z24" s="40"/>
      <c r="AA24" s="40"/>
    </row>
    <row r="25" spans="2:27" ht="15" customHeight="1" x14ac:dyDescent="0.25">
      <c r="B25" s="79"/>
      <c r="F25" s="29"/>
      <c r="G25" s="29"/>
      <c r="H25" s="29"/>
      <c r="I25" s="29"/>
      <c r="J25" s="29"/>
      <c r="K25" s="29"/>
      <c r="L25" s="29"/>
      <c r="M25" s="29"/>
      <c r="N25" s="29"/>
      <c r="O25" s="29"/>
      <c r="P25" s="29"/>
      <c r="Q25" s="29"/>
      <c r="R25" s="29"/>
      <c r="S25" s="29"/>
      <c r="T25" s="22"/>
      <c r="V25" s="151"/>
      <c r="W25" s="173" t="s">
        <v>118</v>
      </c>
      <c r="X25" s="224">
        <v>1.6456999999999999E-2</v>
      </c>
      <c r="Y25" s="151"/>
      <c r="Z25" s="40"/>
      <c r="AA25" s="40"/>
    </row>
    <row r="26" spans="2:27" ht="15" customHeight="1" x14ac:dyDescent="0.25">
      <c r="B26" s="79"/>
      <c r="F26" s="29"/>
      <c r="G26" s="29"/>
      <c r="H26" s="29"/>
      <c r="I26" s="29"/>
      <c r="J26" s="29"/>
      <c r="K26" s="29"/>
      <c r="L26" s="29"/>
      <c r="M26" s="29"/>
      <c r="N26" s="29"/>
      <c r="O26" s="29"/>
      <c r="P26" s="29"/>
      <c r="Q26" s="29"/>
      <c r="R26" s="29"/>
      <c r="S26" s="29"/>
      <c r="T26" s="22"/>
      <c r="V26" s="151"/>
      <c r="W26" s="173" t="s">
        <v>81</v>
      </c>
      <c r="X26" s="224">
        <v>1.6404000000000002E-2</v>
      </c>
      <c r="Y26" s="151"/>
      <c r="Z26" s="40"/>
      <c r="AA26" s="40"/>
    </row>
    <row r="27" spans="2:27" ht="15" customHeight="1" x14ac:dyDescent="0.25">
      <c r="B27" s="79"/>
      <c r="D27" s="153"/>
      <c r="F27" s="29"/>
      <c r="G27" s="29"/>
      <c r="H27" s="29"/>
      <c r="I27" s="29"/>
      <c r="J27" s="29"/>
      <c r="K27" s="29"/>
      <c r="L27" s="29"/>
      <c r="M27" s="29"/>
      <c r="N27" s="29"/>
      <c r="O27" s="29"/>
      <c r="P27" s="29"/>
      <c r="Q27" s="29"/>
      <c r="R27" s="29"/>
      <c r="S27" s="29"/>
      <c r="T27" s="22"/>
      <c r="V27" s="151"/>
      <c r="W27" s="173" t="s">
        <v>103</v>
      </c>
      <c r="X27" s="224">
        <v>1.5106E-2</v>
      </c>
      <c r="Y27" s="151"/>
      <c r="Z27" s="40"/>
      <c r="AA27" s="40"/>
    </row>
    <row r="28" spans="2:27" ht="15" customHeight="1" x14ac:dyDescent="0.25">
      <c r="B28" s="79"/>
      <c r="F28" s="29"/>
      <c r="G28" s="29"/>
      <c r="H28" s="29"/>
      <c r="I28" s="29"/>
      <c r="J28" s="29"/>
      <c r="K28" s="29"/>
      <c r="L28" s="29"/>
      <c r="M28" s="29"/>
      <c r="N28" s="29"/>
      <c r="O28" s="29"/>
      <c r="P28" s="29"/>
      <c r="Q28" s="29"/>
      <c r="R28" s="29"/>
      <c r="S28" s="29"/>
      <c r="T28" s="22"/>
      <c r="V28" s="151"/>
      <c r="W28" s="173" t="s">
        <v>123</v>
      </c>
      <c r="X28" s="224">
        <v>1.3903E-2</v>
      </c>
      <c r="Y28" s="151"/>
      <c r="Z28" s="40"/>
      <c r="AA28" s="40"/>
    </row>
    <row r="29" spans="2:27" ht="15" customHeight="1" x14ac:dyDescent="0.25">
      <c r="B29" s="79"/>
      <c r="F29" s="29"/>
      <c r="G29" s="29"/>
      <c r="H29" s="29"/>
      <c r="I29" s="29"/>
      <c r="J29" s="29"/>
      <c r="K29" s="29"/>
      <c r="L29" s="29"/>
      <c r="M29" s="29"/>
      <c r="N29" s="29"/>
      <c r="O29" s="29"/>
      <c r="P29" s="29"/>
      <c r="Q29" s="29"/>
      <c r="R29" s="29"/>
      <c r="S29" s="29"/>
      <c r="T29" s="22"/>
      <c r="V29" s="151"/>
      <c r="W29" s="173" t="s">
        <v>80</v>
      </c>
      <c r="X29" s="224">
        <v>1.3315E-2</v>
      </c>
      <c r="Y29" s="151"/>
      <c r="Z29" s="40"/>
      <c r="AA29" s="40"/>
    </row>
    <row r="30" spans="2:27" ht="15" customHeight="1" x14ac:dyDescent="0.25">
      <c r="B30" s="79"/>
      <c r="F30" s="29"/>
      <c r="G30" s="29"/>
      <c r="H30" s="29"/>
      <c r="I30" s="29"/>
      <c r="J30" s="29"/>
      <c r="K30" s="29"/>
      <c r="L30" s="29"/>
      <c r="M30" s="29"/>
      <c r="N30" s="29"/>
      <c r="O30" s="29"/>
      <c r="P30" s="29"/>
      <c r="Q30" s="29"/>
      <c r="R30" s="29"/>
      <c r="S30" s="29"/>
      <c r="T30" s="22"/>
      <c r="V30" s="151"/>
      <c r="W30" s="173" t="s">
        <v>111</v>
      </c>
      <c r="X30" s="224">
        <v>1.1891000000000001E-2</v>
      </c>
      <c r="Y30" s="151"/>
      <c r="Z30" s="40"/>
      <c r="AA30" s="40"/>
    </row>
    <row r="31" spans="2:27" ht="15" customHeight="1" x14ac:dyDescent="0.25">
      <c r="B31" s="79"/>
      <c r="F31" s="29"/>
      <c r="G31" s="29"/>
      <c r="H31" s="29"/>
      <c r="I31" s="29"/>
      <c r="J31" s="29"/>
      <c r="K31" s="29"/>
      <c r="L31" s="29"/>
      <c r="M31" s="29"/>
      <c r="N31" s="29"/>
      <c r="O31" s="29"/>
      <c r="P31" s="29"/>
      <c r="Q31" s="29"/>
      <c r="R31" s="29"/>
      <c r="S31" s="29"/>
      <c r="T31" s="22"/>
      <c r="V31" s="151"/>
      <c r="W31" s="173" t="s">
        <v>11</v>
      </c>
      <c r="X31" s="224">
        <v>1.1783E-2</v>
      </c>
      <c r="Y31" s="151"/>
      <c r="Z31" s="40"/>
      <c r="AA31" s="40"/>
    </row>
    <row r="32" spans="2:27" ht="15" customHeight="1" x14ac:dyDescent="0.25">
      <c r="B32" s="79"/>
      <c r="F32" s="29"/>
      <c r="G32" s="29"/>
      <c r="H32" s="29"/>
      <c r="I32" s="29"/>
      <c r="J32" s="29"/>
      <c r="K32" s="29"/>
      <c r="L32" s="29"/>
      <c r="M32" s="29"/>
      <c r="N32" s="29"/>
      <c r="O32" s="29"/>
      <c r="P32" s="29"/>
      <c r="Q32" s="29"/>
      <c r="R32" s="29"/>
      <c r="S32" s="29"/>
      <c r="T32" s="22"/>
      <c r="V32" s="151"/>
      <c r="W32" s="173" t="s">
        <v>130</v>
      </c>
      <c r="X32" s="224">
        <v>1.1649E-2</v>
      </c>
      <c r="Y32" s="151"/>
      <c r="Z32" s="40"/>
      <c r="AA32" s="40"/>
    </row>
    <row r="33" spans="2:27" ht="15" customHeight="1" x14ac:dyDescent="0.25">
      <c r="B33" s="79"/>
      <c r="F33" s="29"/>
      <c r="G33" s="29"/>
      <c r="H33" s="29"/>
      <c r="I33" s="29"/>
      <c r="J33" s="29"/>
      <c r="K33" s="29"/>
      <c r="L33" s="29"/>
      <c r="M33" s="29"/>
      <c r="N33" s="29"/>
      <c r="O33" s="29"/>
      <c r="P33" s="29"/>
      <c r="Q33" s="29"/>
      <c r="R33" s="29"/>
      <c r="S33" s="29"/>
      <c r="T33" s="22"/>
      <c r="V33" s="151"/>
      <c r="W33" s="173" t="s">
        <v>25</v>
      </c>
      <c r="X33" s="224">
        <v>1.0349000000000001E-2</v>
      </c>
      <c r="Y33" s="151"/>
      <c r="Z33" s="40"/>
      <c r="AA33" s="40"/>
    </row>
    <row r="34" spans="2:27" ht="15" customHeight="1" x14ac:dyDescent="0.25">
      <c r="B34" s="79"/>
      <c r="F34" s="29"/>
      <c r="G34" s="29"/>
      <c r="H34" s="29"/>
      <c r="I34" s="29"/>
      <c r="J34" s="29"/>
      <c r="K34" s="29"/>
      <c r="L34" s="29"/>
      <c r="M34" s="29"/>
      <c r="N34" s="29"/>
      <c r="O34" s="29"/>
      <c r="P34" s="29"/>
      <c r="Q34" s="29"/>
      <c r="R34" s="29"/>
      <c r="S34" s="29"/>
      <c r="T34" s="22"/>
      <c r="V34" s="151"/>
      <c r="W34" s="173" t="s">
        <v>116</v>
      </c>
      <c r="X34" s="224">
        <v>9.8390000000000005E-3</v>
      </c>
      <c r="Y34" s="151"/>
      <c r="Z34" s="40"/>
      <c r="AA34" s="40"/>
    </row>
    <row r="35" spans="2:27" ht="15" customHeight="1" x14ac:dyDescent="0.25">
      <c r="B35" s="79"/>
      <c r="F35" s="29"/>
      <c r="G35" s="29"/>
      <c r="H35" s="29"/>
      <c r="I35" s="29"/>
      <c r="J35" s="29"/>
      <c r="K35" s="29"/>
      <c r="L35" s="29"/>
      <c r="M35" s="29"/>
      <c r="N35" s="29"/>
      <c r="O35" s="29"/>
      <c r="P35" s="29"/>
      <c r="Q35" s="29"/>
      <c r="R35" s="29"/>
      <c r="S35" s="29"/>
      <c r="T35" s="22"/>
      <c r="V35" s="151"/>
      <c r="W35" s="173" t="s">
        <v>317</v>
      </c>
      <c r="X35" s="224">
        <v>8.2459999999999999E-3</v>
      </c>
      <c r="Y35" s="151"/>
      <c r="Z35" s="40"/>
      <c r="AA35" s="40"/>
    </row>
    <row r="36" spans="2:27" ht="15" customHeight="1" x14ac:dyDescent="0.25">
      <c r="B36" s="79"/>
      <c r="F36" s="29"/>
      <c r="G36" s="29"/>
      <c r="H36" s="29"/>
      <c r="I36" s="29"/>
      <c r="J36" s="29"/>
      <c r="K36" s="29"/>
      <c r="L36" s="29"/>
      <c r="M36" s="29"/>
      <c r="N36" s="29"/>
      <c r="O36" s="29"/>
      <c r="P36" s="29"/>
      <c r="Q36" s="29"/>
      <c r="R36" s="29"/>
      <c r="S36" s="29"/>
      <c r="T36" s="22"/>
      <c r="V36" s="151"/>
      <c r="W36" s="173" t="s">
        <v>143</v>
      </c>
      <c r="X36" s="224">
        <v>8.1580000000000003E-3</v>
      </c>
      <c r="Y36" s="151"/>
      <c r="Z36" s="40"/>
      <c r="AA36" s="40"/>
    </row>
    <row r="37" spans="2:27" ht="15" customHeight="1" x14ac:dyDescent="0.25">
      <c r="B37" s="79"/>
      <c r="C37" s="29"/>
      <c r="D37" s="29"/>
      <c r="E37" s="29"/>
      <c r="F37" s="29"/>
      <c r="G37" s="29"/>
      <c r="H37" s="29"/>
      <c r="I37" s="29"/>
      <c r="J37" s="29"/>
      <c r="K37" s="29"/>
      <c r="L37" s="29"/>
      <c r="M37" s="29"/>
      <c r="N37" s="29"/>
      <c r="O37" s="29"/>
      <c r="P37" s="29"/>
      <c r="Q37" s="29"/>
      <c r="R37" s="29"/>
      <c r="S37" s="29"/>
      <c r="T37" s="22"/>
      <c r="W37" s="173" t="s">
        <v>13</v>
      </c>
      <c r="X37" s="224">
        <v>8.1539999999999998E-3</v>
      </c>
    </row>
    <row r="38" spans="2:27" ht="15" customHeight="1" thickBot="1" x14ac:dyDescent="0.3">
      <c r="B38" s="80"/>
      <c r="C38" s="81"/>
      <c r="D38" s="81"/>
      <c r="E38" s="81"/>
      <c r="F38" s="81"/>
      <c r="G38" s="81"/>
      <c r="H38" s="81"/>
      <c r="I38" s="81"/>
      <c r="J38" s="81"/>
      <c r="K38" s="81"/>
      <c r="L38" s="81"/>
      <c r="M38" s="81"/>
      <c r="N38" s="81"/>
      <c r="O38" s="81"/>
      <c r="P38" s="81"/>
      <c r="Q38" s="81"/>
      <c r="R38" s="81"/>
      <c r="S38" s="81"/>
      <c r="T38" s="23"/>
      <c r="W38" s="173" t="s">
        <v>113</v>
      </c>
      <c r="X38" s="224">
        <v>7.8320000000000004E-3</v>
      </c>
    </row>
    <row r="39" spans="2:27" ht="15" customHeight="1" thickBot="1" x14ac:dyDescent="0.3">
      <c r="W39" s="173" t="s">
        <v>114</v>
      </c>
      <c r="X39" s="224">
        <v>6.3889999999999997E-3</v>
      </c>
    </row>
    <row r="40" spans="2:27" ht="15" customHeight="1" x14ac:dyDescent="0.25">
      <c r="B40" s="306" t="s">
        <v>177</v>
      </c>
      <c r="C40" s="307"/>
      <c r="D40" s="307"/>
      <c r="E40" s="307"/>
      <c r="F40" s="307"/>
      <c r="G40" s="307"/>
      <c r="H40" s="307"/>
      <c r="I40" s="307"/>
      <c r="J40" s="307"/>
      <c r="K40" s="307"/>
      <c r="L40" s="307"/>
      <c r="M40" s="307"/>
      <c r="N40" s="307"/>
      <c r="O40" s="307"/>
      <c r="P40" s="307"/>
      <c r="Q40" s="307"/>
      <c r="R40" s="308"/>
      <c r="W40" s="19" t="s">
        <v>74</v>
      </c>
      <c r="X40" s="224">
        <v>5.2579999999999997E-3</v>
      </c>
    </row>
    <row r="41" spans="2:27" ht="15" customHeight="1" x14ac:dyDescent="0.25">
      <c r="B41" s="309"/>
      <c r="C41" s="310"/>
      <c r="D41" s="310"/>
      <c r="E41" s="310"/>
      <c r="F41" s="310"/>
      <c r="G41" s="310"/>
      <c r="H41" s="310"/>
      <c r="I41" s="310"/>
      <c r="J41" s="310"/>
      <c r="K41" s="310"/>
      <c r="L41" s="310"/>
      <c r="M41" s="310"/>
      <c r="N41" s="310"/>
      <c r="O41" s="310"/>
      <c r="P41" s="310"/>
      <c r="Q41" s="310"/>
      <c r="R41" s="311"/>
      <c r="W41" s="19" t="s">
        <v>10</v>
      </c>
      <c r="X41" s="224">
        <v>5.1029999999999999E-3</v>
      </c>
    </row>
    <row r="42" spans="2:27" ht="15" customHeight="1" x14ac:dyDescent="0.25">
      <c r="B42" s="309"/>
      <c r="C42" s="310"/>
      <c r="D42" s="310"/>
      <c r="E42" s="310"/>
      <c r="F42" s="310"/>
      <c r="G42" s="310"/>
      <c r="H42" s="310"/>
      <c r="I42" s="310"/>
      <c r="J42" s="310"/>
      <c r="K42" s="310"/>
      <c r="L42" s="310"/>
      <c r="M42" s="310"/>
      <c r="N42" s="310"/>
      <c r="O42" s="310"/>
      <c r="P42" s="310"/>
      <c r="Q42" s="310"/>
      <c r="R42" s="311"/>
      <c r="W42" s="19" t="s">
        <v>120</v>
      </c>
      <c r="X42" s="224">
        <v>5.0340000000000003E-3</v>
      </c>
    </row>
    <row r="43" spans="2:27" ht="15" customHeight="1" x14ac:dyDescent="0.25">
      <c r="B43" s="309"/>
      <c r="C43" s="310"/>
      <c r="D43" s="310"/>
      <c r="E43" s="310"/>
      <c r="F43" s="310"/>
      <c r="G43" s="310"/>
      <c r="H43" s="310"/>
      <c r="I43" s="310"/>
      <c r="J43" s="310"/>
      <c r="K43" s="310"/>
      <c r="L43" s="310"/>
      <c r="M43" s="310"/>
      <c r="N43" s="310"/>
      <c r="O43" s="310"/>
      <c r="P43" s="310"/>
      <c r="Q43" s="310"/>
      <c r="R43" s="311"/>
      <c r="X43" s="224"/>
    </row>
    <row r="44" spans="2:27" ht="15" customHeight="1" x14ac:dyDescent="0.25">
      <c r="B44" s="309"/>
      <c r="C44" s="310"/>
      <c r="D44" s="310"/>
      <c r="E44" s="310"/>
      <c r="F44" s="310"/>
      <c r="G44" s="310"/>
      <c r="H44" s="310"/>
      <c r="I44" s="310"/>
      <c r="J44" s="310"/>
      <c r="K44" s="310"/>
      <c r="L44" s="310"/>
      <c r="M44" s="310"/>
      <c r="N44" s="310"/>
      <c r="O44" s="310"/>
      <c r="P44" s="310"/>
      <c r="Q44" s="310"/>
      <c r="R44" s="311"/>
      <c r="X44" s="224"/>
    </row>
    <row r="45" spans="2:27" ht="15" customHeight="1" x14ac:dyDescent="0.25">
      <c r="B45" s="309"/>
      <c r="C45" s="310"/>
      <c r="D45" s="310"/>
      <c r="E45" s="310"/>
      <c r="F45" s="310"/>
      <c r="G45" s="310"/>
      <c r="H45" s="310"/>
      <c r="I45" s="310"/>
      <c r="J45" s="310"/>
      <c r="K45" s="310"/>
      <c r="L45" s="310"/>
      <c r="M45" s="310"/>
      <c r="N45" s="310"/>
      <c r="O45" s="310"/>
      <c r="P45" s="310"/>
      <c r="Q45" s="310"/>
      <c r="R45" s="311"/>
      <c r="X45" s="224"/>
    </row>
    <row r="46" spans="2:27" ht="21.75" customHeight="1" thickBot="1" x14ac:dyDescent="0.3">
      <c r="B46" s="312"/>
      <c r="C46" s="313"/>
      <c r="D46" s="313"/>
      <c r="E46" s="313"/>
      <c r="F46" s="313"/>
      <c r="G46" s="313"/>
      <c r="H46" s="313"/>
      <c r="I46" s="313"/>
      <c r="J46" s="313"/>
      <c r="K46" s="313"/>
      <c r="L46" s="313"/>
      <c r="M46" s="313"/>
      <c r="N46" s="313"/>
      <c r="O46" s="313"/>
      <c r="P46" s="313"/>
      <c r="Q46" s="313"/>
      <c r="R46" s="314"/>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ColWidth="9.140625" defaultRowHeight="15" x14ac:dyDescent="0.25"/>
  <cols>
    <col min="1" max="1" width="2.85546875" style="19" customWidth="1"/>
    <col min="2" max="2" width="3.85546875" style="19" customWidth="1"/>
    <col min="3" max="3" width="49.28515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315" t="s">
        <v>162</v>
      </c>
      <c r="D3" s="315"/>
      <c r="E3" s="315"/>
      <c r="F3" s="315"/>
      <c r="G3" s="315"/>
      <c r="H3" s="315"/>
      <c r="I3" s="315"/>
      <c r="J3" s="315"/>
      <c r="K3" s="315"/>
      <c r="L3" s="315"/>
      <c r="M3" s="315"/>
      <c r="N3" s="315"/>
      <c r="O3" s="315"/>
      <c r="P3" s="315"/>
      <c r="Q3" s="315"/>
      <c r="R3" s="315"/>
      <c r="S3" s="315"/>
      <c r="T3" s="22"/>
      <c r="V3" s="40"/>
      <c r="W3" s="40"/>
      <c r="X3" s="40"/>
      <c r="Y3" s="40"/>
      <c r="Z3" s="40"/>
      <c r="AA3" s="40"/>
    </row>
    <row r="4" spans="1:27" ht="15.75" customHeight="1" x14ac:dyDescent="0.25">
      <c r="B4" s="79"/>
      <c r="C4" s="67" t="s">
        <v>430</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11" t="s">
        <v>431</v>
      </c>
      <c r="D5" s="317" t="s">
        <v>391</v>
      </c>
      <c r="E5" s="317"/>
      <c r="F5" s="29"/>
      <c r="G5" s="29"/>
      <c r="H5" s="29"/>
      <c r="I5" s="29"/>
      <c r="J5" s="29"/>
      <c r="K5" s="29"/>
      <c r="L5" s="29"/>
      <c r="M5" s="29"/>
      <c r="N5" s="29"/>
      <c r="O5" s="29"/>
      <c r="P5" s="29"/>
      <c r="Q5" s="29"/>
      <c r="R5" s="29"/>
      <c r="S5" s="29"/>
      <c r="T5" s="22"/>
      <c r="V5" s="151"/>
      <c r="W5" s="151"/>
      <c r="X5" s="151"/>
      <c r="Y5" s="151"/>
      <c r="Z5" s="40"/>
      <c r="AA5" s="40"/>
    </row>
    <row r="6" spans="1:27" ht="15" customHeight="1" x14ac:dyDescent="0.25">
      <c r="B6" s="79"/>
      <c r="C6" s="29"/>
      <c r="D6" s="29"/>
      <c r="E6" s="29"/>
      <c r="F6" s="29"/>
      <c r="G6" s="29"/>
      <c r="H6" s="29"/>
      <c r="I6" s="29"/>
      <c r="J6" s="29"/>
      <c r="K6" s="29"/>
      <c r="L6" s="29"/>
      <c r="M6" s="29"/>
      <c r="N6" s="29"/>
      <c r="O6" s="29"/>
      <c r="P6" s="29"/>
      <c r="Q6" s="29"/>
      <c r="R6" s="29"/>
      <c r="S6" s="29"/>
      <c r="T6" s="22"/>
      <c r="V6" s="151"/>
      <c r="W6" s="151"/>
      <c r="X6" s="151"/>
      <c r="Y6" s="151"/>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1"/>
      <c r="W7" s="151" t="s">
        <v>22</v>
      </c>
      <c r="X7" s="152" t="s">
        <v>2</v>
      </c>
      <c r="Y7" s="151"/>
      <c r="Z7" s="40"/>
      <c r="AA7" s="40"/>
    </row>
    <row r="8" spans="1:27" ht="15" customHeight="1" x14ac:dyDescent="0.25">
      <c r="B8" s="79"/>
      <c r="C8" s="184" t="s">
        <v>29</v>
      </c>
      <c r="D8" s="294" t="s">
        <v>3</v>
      </c>
      <c r="E8" s="186">
        <v>8.4598999999999994E-2</v>
      </c>
      <c r="F8" s="29"/>
      <c r="G8" s="29"/>
      <c r="H8" s="29"/>
      <c r="I8" s="29"/>
      <c r="J8" s="29"/>
      <c r="K8" s="29"/>
      <c r="L8" s="29"/>
      <c r="M8" s="29"/>
      <c r="N8" s="29"/>
      <c r="O8" s="29"/>
      <c r="P8" s="29"/>
      <c r="Q8" s="29"/>
      <c r="R8" s="29"/>
      <c r="S8" s="29"/>
      <c r="T8" s="22"/>
      <c r="V8" s="151"/>
      <c r="W8" s="61" t="s">
        <v>3</v>
      </c>
      <c r="X8" s="201">
        <v>0.27030599999999994</v>
      </c>
      <c r="Y8" s="151"/>
      <c r="Z8" s="40"/>
      <c r="AA8" s="40"/>
    </row>
    <row r="9" spans="1:27" ht="15.75" customHeight="1" x14ac:dyDescent="0.25">
      <c r="B9" s="79"/>
      <c r="C9" s="180" t="s">
        <v>32</v>
      </c>
      <c r="D9" s="295" t="s">
        <v>3</v>
      </c>
      <c r="E9" s="188">
        <v>8.1647999999999998E-2</v>
      </c>
      <c r="F9" s="29"/>
      <c r="G9" s="29"/>
      <c r="H9" s="29"/>
      <c r="I9" s="29"/>
      <c r="J9" s="29"/>
      <c r="K9" s="29"/>
      <c r="L9" s="29"/>
      <c r="M9" s="29"/>
      <c r="N9" s="29"/>
      <c r="O9" s="29"/>
      <c r="P9" s="29"/>
      <c r="Q9" s="29"/>
      <c r="R9" s="29"/>
      <c r="S9" s="29"/>
      <c r="T9" s="22"/>
      <c r="V9" s="151"/>
      <c r="W9" s="61" t="s">
        <v>104</v>
      </c>
      <c r="X9" s="201">
        <v>8.3778999999999992E-2</v>
      </c>
      <c r="Y9" s="151"/>
      <c r="Z9" s="40"/>
      <c r="AA9" s="40"/>
    </row>
    <row r="10" spans="1:27" ht="15" customHeight="1" x14ac:dyDescent="0.25">
      <c r="B10" s="79"/>
      <c r="C10" s="180" t="s">
        <v>31</v>
      </c>
      <c r="D10" s="295" t="s">
        <v>6</v>
      </c>
      <c r="E10" s="188">
        <v>6.1806E-2</v>
      </c>
      <c r="F10" s="29"/>
      <c r="G10" s="29"/>
      <c r="H10" s="29"/>
      <c r="I10" s="29"/>
      <c r="J10" s="29"/>
      <c r="K10" s="29"/>
      <c r="L10" s="29"/>
      <c r="M10" s="29"/>
      <c r="N10" s="29"/>
      <c r="O10" s="29"/>
      <c r="P10" s="29"/>
      <c r="Q10" s="29"/>
      <c r="R10" s="29"/>
      <c r="S10" s="29"/>
      <c r="T10" s="22"/>
      <c r="V10" s="151"/>
      <c r="W10" s="61" t="s">
        <v>26</v>
      </c>
      <c r="X10" s="201">
        <v>7.9822000000000004E-2</v>
      </c>
      <c r="Y10" s="151"/>
      <c r="Z10" s="40"/>
      <c r="AA10" s="40"/>
    </row>
    <row r="11" spans="1:27" ht="15" customHeight="1" x14ac:dyDescent="0.25">
      <c r="B11" s="79"/>
      <c r="C11" s="180" t="s">
        <v>33</v>
      </c>
      <c r="D11" s="295" t="s">
        <v>104</v>
      </c>
      <c r="E11" s="188">
        <v>4.3418999999999999E-2</v>
      </c>
      <c r="F11" s="29"/>
      <c r="G11" s="29"/>
      <c r="H11" s="29"/>
      <c r="I11" s="29"/>
      <c r="J11" s="29"/>
      <c r="K11" s="29"/>
      <c r="L11" s="29"/>
      <c r="M11" s="29"/>
      <c r="N11" s="29"/>
      <c r="O11" s="29"/>
      <c r="P11" s="29"/>
      <c r="Q11" s="29"/>
      <c r="R11" s="29"/>
      <c r="S11" s="29"/>
      <c r="T11" s="22"/>
      <c r="V11" s="151"/>
      <c r="W11" s="61" t="s">
        <v>109</v>
      </c>
      <c r="X11" s="201">
        <v>7.3783999999999988E-2</v>
      </c>
      <c r="Y11" s="151"/>
      <c r="Z11" s="40"/>
      <c r="AA11" s="40"/>
    </row>
    <row r="12" spans="1:27" ht="15" customHeight="1" x14ac:dyDescent="0.25">
      <c r="B12" s="79"/>
      <c r="C12" s="180" t="s">
        <v>28</v>
      </c>
      <c r="D12" s="295" t="s">
        <v>104</v>
      </c>
      <c r="E12" s="188">
        <v>4.036E-2</v>
      </c>
      <c r="F12" s="29"/>
      <c r="G12" s="29"/>
      <c r="H12" s="29"/>
      <c r="I12" s="29"/>
      <c r="J12" s="29"/>
      <c r="K12" s="29"/>
      <c r="L12" s="29"/>
      <c r="M12" s="29"/>
      <c r="N12" s="29"/>
      <c r="O12" s="29"/>
      <c r="P12" s="29"/>
      <c r="Q12" s="29"/>
      <c r="R12" s="29"/>
      <c r="S12" s="29"/>
      <c r="T12" s="22"/>
      <c r="V12" s="151"/>
      <c r="W12" s="61" t="s">
        <v>6</v>
      </c>
      <c r="X12" s="201">
        <v>6.1806E-2</v>
      </c>
      <c r="Y12" s="151"/>
      <c r="Z12" s="40"/>
      <c r="AA12" s="40"/>
    </row>
    <row r="13" spans="1:27" ht="15" customHeight="1" x14ac:dyDescent="0.25">
      <c r="B13" s="79"/>
      <c r="C13" s="180" t="s">
        <v>36</v>
      </c>
      <c r="D13" s="295" t="s">
        <v>3</v>
      </c>
      <c r="E13" s="188">
        <v>3.7273000000000001E-2</v>
      </c>
      <c r="F13" s="29"/>
      <c r="G13" s="29"/>
      <c r="H13" s="29"/>
      <c r="I13" s="29"/>
      <c r="J13" s="29"/>
      <c r="K13" s="29"/>
      <c r="L13" s="29"/>
      <c r="M13" s="29"/>
      <c r="N13" s="29"/>
      <c r="O13" s="29"/>
      <c r="P13" s="29"/>
      <c r="Q13" s="29"/>
      <c r="R13" s="29"/>
      <c r="S13" s="29"/>
      <c r="T13" s="22"/>
      <c r="V13" s="151"/>
      <c r="W13" s="61" t="s">
        <v>108</v>
      </c>
      <c r="X13" s="201">
        <v>4.9498E-2</v>
      </c>
      <c r="Y13" s="151"/>
      <c r="Z13" s="40"/>
      <c r="AA13" s="40"/>
    </row>
    <row r="14" spans="1:27" ht="15" customHeight="1" x14ac:dyDescent="0.25">
      <c r="B14" s="79"/>
      <c r="C14" s="180" t="s">
        <v>93</v>
      </c>
      <c r="D14" s="295" t="s">
        <v>109</v>
      </c>
      <c r="E14" s="188">
        <v>2.5118000000000001E-2</v>
      </c>
      <c r="F14" s="29"/>
      <c r="G14" s="29"/>
      <c r="H14" s="29"/>
      <c r="I14" s="29"/>
      <c r="J14" s="29"/>
      <c r="K14" s="29"/>
      <c r="L14" s="29"/>
      <c r="M14" s="29"/>
      <c r="N14" s="29"/>
      <c r="O14" s="29"/>
      <c r="P14" s="29"/>
      <c r="Q14" s="29"/>
      <c r="R14" s="29"/>
      <c r="S14" s="29"/>
      <c r="T14" s="22"/>
      <c r="V14" s="151"/>
      <c r="W14" s="61" t="s">
        <v>4</v>
      </c>
      <c r="X14" s="201">
        <v>4.9304000000000001E-2</v>
      </c>
      <c r="Y14" s="151"/>
      <c r="Z14" s="40"/>
      <c r="AA14" s="40"/>
    </row>
    <row r="15" spans="1:27" ht="15.75" customHeight="1" x14ac:dyDescent="0.25">
      <c r="B15" s="79"/>
      <c r="C15" s="180" t="s">
        <v>35</v>
      </c>
      <c r="D15" s="295" t="s">
        <v>3</v>
      </c>
      <c r="E15" s="188">
        <v>2.2561000000000001E-2</v>
      </c>
      <c r="F15" s="29"/>
      <c r="G15" s="29"/>
      <c r="H15" s="29"/>
      <c r="I15" s="29"/>
      <c r="J15" s="29"/>
      <c r="K15" s="29"/>
      <c r="L15" s="29"/>
      <c r="M15" s="29"/>
      <c r="N15" s="29"/>
      <c r="O15" s="29"/>
      <c r="P15" s="29"/>
      <c r="Q15" s="29"/>
      <c r="R15" s="29"/>
      <c r="S15" s="29"/>
      <c r="T15" s="22"/>
      <c r="V15" s="151"/>
      <c r="W15" s="61" t="s">
        <v>16</v>
      </c>
      <c r="X15" s="201">
        <v>4.0112000000000002E-2</v>
      </c>
      <c r="Y15" s="151"/>
      <c r="Z15" s="40"/>
      <c r="AA15" s="40"/>
    </row>
    <row r="16" spans="1:27" ht="15" customHeight="1" x14ac:dyDescent="0.25">
      <c r="B16" s="79"/>
      <c r="C16" s="180" t="s">
        <v>76</v>
      </c>
      <c r="D16" s="295" t="s">
        <v>3</v>
      </c>
      <c r="E16" s="188">
        <v>2.2082999999999998E-2</v>
      </c>
      <c r="F16" s="29"/>
      <c r="G16" s="29"/>
      <c r="H16" s="29"/>
      <c r="I16" s="29"/>
      <c r="J16" s="29"/>
      <c r="K16" s="29"/>
      <c r="L16" s="29"/>
      <c r="M16" s="29"/>
      <c r="N16" s="29"/>
      <c r="O16" s="29"/>
      <c r="P16" s="29"/>
      <c r="Q16" s="29"/>
      <c r="R16" s="29"/>
      <c r="S16" s="29"/>
      <c r="T16" s="22"/>
      <c r="V16" s="151"/>
      <c r="W16" s="61" t="s">
        <v>83</v>
      </c>
      <c r="X16" s="201">
        <v>2.7754999999999998E-2</v>
      </c>
      <c r="Y16" s="151"/>
      <c r="Z16" s="40"/>
      <c r="AA16" s="40"/>
    </row>
    <row r="17" spans="2:27" ht="15.75" customHeight="1" x14ac:dyDescent="0.25">
      <c r="B17" s="79"/>
      <c r="C17" s="180" t="s">
        <v>242</v>
      </c>
      <c r="D17" s="295" t="s">
        <v>108</v>
      </c>
      <c r="E17" s="188">
        <v>2.0523E-2</v>
      </c>
      <c r="F17" s="29"/>
      <c r="G17" s="29"/>
      <c r="H17" s="29"/>
      <c r="I17" s="29"/>
      <c r="J17" s="29"/>
      <c r="K17" s="29"/>
      <c r="L17" s="29"/>
      <c r="M17" s="29"/>
      <c r="N17" s="29"/>
      <c r="O17" s="29"/>
      <c r="P17" s="29"/>
      <c r="Q17" s="29"/>
      <c r="R17" s="29"/>
      <c r="S17" s="29"/>
      <c r="T17" s="22"/>
      <c r="V17" s="151"/>
      <c r="W17" s="61" t="s">
        <v>12</v>
      </c>
      <c r="X17" s="201">
        <v>2.2330000000000003E-2</v>
      </c>
      <c r="Y17" s="151"/>
      <c r="Z17" s="40"/>
      <c r="AA17" s="40"/>
    </row>
    <row r="18" spans="2:27" ht="15.75" x14ac:dyDescent="0.25">
      <c r="B18" s="79"/>
      <c r="C18" s="180" t="s">
        <v>367</v>
      </c>
      <c r="D18" s="295" t="s">
        <v>26</v>
      </c>
      <c r="E18" s="188">
        <v>2.0246E-2</v>
      </c>
      <c r="F18" s="29"/>
      <c r="G18" s="29"/>
      <c r="H18" s="29"/>
      <c r="I18" s="29"/>
      <c r="J18" s="29"/>
      <c r="K18" s="29"/>
      <c r="L18" s="29"/>
      <c r="M18" s="29"/>
      <c r="N18" s="29"/>
      <c r="O18" s="29"/>
      <c r="P18" s="29"/>
      <c r="Q18" s="29"/>
      <c r="R18" s="29"/>
      <c r="S18" s="29"/>
      <c r="T18" s="22"/>
      <c r="V18" s="151"/>
      <c r="W18" s="61" t="s">
        <v>114</v>
      </c>
      <c r="X18" s="201">
        <v>1.9540000000000002E-2</v>
      </c>
      <c r="Y18" s="151"/>
      <c r="Z18" s="40"/>
      <c r="AA18" s="40"/>
    </row>
    <row r="19" spans="2:27" ht="15.75" customHeight="1" x14ac:dyDescent="0.25">
      <c r="B19" s="79"/>
      <c r="C19" s="180" t="s">
        <v>70</v>
      </c>
      <c r="D19" s="295" t="s">
        <v>12</v>
      </c>
      <c r="E19" s="188">
        <v>1.9886000000000001E-2</v>
      </c>
      <c r="F19" s="29"/>
      <c r="G19" s="29"/>
      <c r="H19" s="29"/>
      <c r="I19" s="29"/>
      <c r="J19" s="29"/>
      <c r="K19" s="29"/>
      <c r="L19" s="29"/>
      <c r="M19" s="29"/>
      <c r="N19" s="29"/>
      <c r="O19" s="29"/>
      <c r="P19" s="29"/>
      <c r="Q19" s="29"/>
      <c r="R19" s="29"/>
      <c r="S19" s="29"/>
      <c r="T19" s="22"/>
      <c r="V19" s="151"/>
      <c r="W19" s="61" t="s">
        <v>110</v>
      </c>
      <c r="X19" s="201">
        <v>1.6354E-2</v>
      </c>
      <c r="Y19" s="151"/>
      <c r="Z19" s="40"/>
      <c r="AA19" s="40"/>
    </row>
    <row r="20" spans="2:27" ht="15" customHeight="1" x14ac:dyDescent="0.25">
      <c r="B20" s="79"/>
      <c r="C20" s="180" t="s">
        <v>139</v>
      </c>
      <c r="D20" s="295" t="s">
        <v>108</v>
      </c>
      <c r="E20" s="188">
        <v>1.5306999999999999E-2</v>
      </c>
      <c r="F20" s="29"/>
      <c r="G20" s="29"/>
      <c r="H20" s="29"/>
      <c r="I20" s="29"/>
      <c r="J20" s="29"/>
      <c r="K20" s="29"/>
      <c r="L20" s="29"/>
      <c r="M20" s="29"/>
      <c r="N20" s="29"/>
      <c r="O20" s="29"/>
      <c r="P20" s="29"/>
      <c r="Q20" s="29"/>
      <c r="R20" s="29"/>
      <c r="S20" s="29"/>
      <c r="T20" s="22"/>
      <c r="V20" s="151"/>
      <c r="W20" s="61" t="s">
        <v>80</v>
      </c>
      <c r="X20" s="201">
        <v>1.515E-2</v>
      </c>
      <c r="Y20" s="151"/>
      <c r="Z20" s="40"/>
      <c r="AA20" s="40"/>
    </row>
    <row r="21" spans="2:27" ht="15" customHeight="1" x14ac:dyDescent="0.25">
      <c r="B21" s="79"/>
      <c r="C21" s="180" t="s">
        <v>117</v>
      </c>
      <c r="D21" s="295" t="s">
        <v>109</v>
      </c>
      <c r="E21" s="188">
        <v>1.4951000000000001E-2</v>
      </c>
      <c r="F21" s="29"/>
      <c r="G21" s="29"/>
      <c r="H21" s="29"/>
      <c r="I21" s="29"/>
      <c r="J21" s="29"/>
      <c r="K21" s="29"/>
      <c r="L21" s="29"/>
      <c r="M21" s="29"/>
      <c r="N21" s="29"/>
      <c r="O21" s="29"/>
      <c r="P21" s="29"/>
      <c r="Q21" s="29"/>
      <c r="R21" s="29"/>
      <c r="S21" s="29"/>
      <c r="T21" s="22"/>
      <c r="V21" s="151"/>
      <c r="W21" s="61" t="s">
        <v>116</v>
      </c>
      <c r="X21" s="201">
        <v>1.4935E-2</v>
      </c>
      <c r="Y21" s="151"/>
      <c r="Z21" s="40"/>
      <c r="AA21" s="40"/>
    </row>
    <row r="22" spans="2:27" ht="15" customHeight="1" x14ac:dyDescent="0.25">
      <c r="B22" s="79"/>
      <c r="C22" s="180" t="s">
        <v>95</v>
      </c>
      <c r="D22" s="295" t="s">
        <v>116</v>
      </c>
      <c r="E22" s="188">
        <v>1.4935E-2</v>
      </c>
      <c r="F22" s="29"/>
      <c r="G22" s="29"/>
      <c r="H22" s="29"/>
      <c r="I22" s="29"/>
      <c r="J22" s="29"/>
      <c r="K22" s="29"/>
      <c r="L22" s="29"/>
      <c r="M22" s="29"/>
      <c r="N22" s="29"/>
      <c r="O22" s="29"/>
      <c r="P22" s="29"/>
      <c r="Q22" s="29"/>
      <c r="R22" s="29"/>
      <c r="S22" s="29"/>
      <c r="T22" s="22"/>
      <c r="V22" s="151"/>
      <c r="W22" s="61" t="s">
        <v>81</v>
      </c>
      <c r="X22" s="201">
        <v>1.3482999999999998E-2</v>
      </c>
      <c r="Y22" s="151"/>
      <c r="Z22" s="40"/>
      <c r="AA22" s="40"/>
    </row>
    <row r="23" spans="2:27" ht="15" customHeight="1" x14ac:dyDescent="0.25">
      <c r="B23" s="79"/>
      <c r="C23" s="71"/>
      <c r="D23" s="296"/>
      <c r="E23" s="72"/>
      <c r="F23" s="29"/>
      <c r="G23" s="29"/>
      <c r="H23" s="29"/>
      <c r="I23" s="29"/>
      <c r="J23" s="29"/>
      <c r="K23" s="29"/>
      <c r="L23" s="29"/>
      <c r="M23" s="29"/>
      <c r="N23" s="29"/>
      <c r="O23" s="29"/>
      <c r="P23" s="29"/>
      <c r="Q23" s="29"/>
      <c r="R23" s="29"/>
      <c r="S23" s="29"/>
      <c r="T23" s="22"/>
      <c r="V23" s="151"/>
      <c r="W23" s="61" t="s">
        <v>103</v>
      </c>
      <c r="X23" s="201">
        <v>1.1365E-2</v>
      </c>
      <c r="Y23" s="151"/>
      <c r="Z23" s="40"/>
      <c r="AA23" s="40"/>
    </row>
    <row r="24" spans="2:27" ht="15" customHeight="1" x14ac:dyDescent="0.25">
      <c r="B24" s="79"/>
      <c r="C24" s="73" t="s">
        <v>55</v>
      </c>
      <c r="D24" s="74"/>
      <c r="E24" s="75">
        <f>SUM(E8:E22)</f>
        <v>0.52471500000000004</v>
      </c>
      <c r="F24" s="29"/>
      <c r="G24" s="29"/>
      <c r="H24" s="29"/>
      <c r="I24" s="29"/>
      <c r="J24" s="29"/>
      <c r="K24" s="29"/>
      <c r="L24" s="29"/>
      <c r="M24" s="29"/>
      <c r="N24" s="29"/>
      <c r="O24" s="29"/>
      <c r="P24" s="29"/>
      <c r="Q24" s="29"/>
      <c r="R24" s="29"/>
      <c r="S24" s="29"/>
      <c r="T24" s="22"/>
      <c r="V24" s="151"/>
      <c r="W24" s="61" t="s">
        <v>11</v>
      </c>
      <c r="X24" s="201">
        <v>1.1285999999999999E-2</v>
      </c>
      <c r="Y24" s="151"/>
      <c r="Z24" s="40"/>
      <c r="AA24" s="40"/>
    </row>
    <row r="25" spans="2:27" ht="15" customHeight="1" x14ac:dyDescent="0.25">
      <c r="B25" s="79"/>
      <c r="F25" s="29"/>
      <c r="G25" s="29"/>
      <c r="H25" s="29"/>
      <c r="I25" s="29"/>
      <c r="J25" s="29"/>
      <c r="K25" s="29"/>
      <c r="L25" s="29"/>
      <c r="M25" s="29"/>
      <c r="N25" s="29"/>
      <c r="O25" s="29"/>
      <c r="P25" s="29"/>
      <c r="Q25" s="29"/>
      <c r="R25" s="29"/>
      <c r="S25" s="29"/>
      <c r="T25" s="22"/>
      <c r="V25" s="151"/>
      <c r="W25" s="61" t="s">
        <v>23</v>
      </c>
      <c r="X25" s="201">
        <v>1.0248E-2</v>
      </c>
      <c r="Y25" s="151"/>
      <c r="Z25" s="40"/>
      <c r="AA25" s="40"/>
    </row>
    <row r="26" spans="2:27" ht="15" customHeight="1" x14ac:dyDescent="0.25">
      <c r="B26" s="79"/>
      <c r="F26" s="29"/>
      <c r="G26" s="29"/>
      <c r="H26" s="29"/>
      <c r="I26" s="29"/>
      <c r="J26" s="29"/>
      <c r="K26" s="29"/>
      <c r="L26" s="29"/>
      <c r="M26" s="29"/>
      <c r="N26" s="29"/>
      <c r="O26" s="29"/>
      <c r="P26" s="29"/>
      <c r="Q26" s="29"/>
      <c r="R26" s="29"/>
      <c r="S26" s="29"/>
      <c r="T26" s="22"/>
      <c r="V26" s="151"/>
      <c r="W26" s="61" t="s">
        <v>143</v>
      </c>
      <c r="X26" s="201">
        <v>1.0061E-2</v>
      </c>
      <c r="Y26" s="151"/>
      <c r="Z26" s="40"/>
      <c r="AA26" s="40"/>
    </row>
    <row r="27" spans="2:27" ht="15" customHeight="1" x14ac:dyDescent="0.25">
      <c r="B27" s="79"/>
      <c r="D27" s="153"/>
      <c r="F27" s="29"/>
      <c r="G27" s="29"/>
      <c r="H27" s="29"/>
      <c r="I27" s="29"/>
      <c r="J27" s="29"/>
      <c r="K27" s="29"/>
      <c r="L27" s="29"/>
      <c r="M27" s="29"/>
      <c r="N27" s="29"/>
      <c r="O27" s="29"/>
      <c r="P27" s="29"/>
      <c r="Q27" s="29"/>
      <c r="R27" s="29"/>
      <c r="S27" s="29"/>
      <c r="T27" s="22"/>
      <c r="V27" s="151"/>
      <c r="W27" s="61" t="s">
        <v>130</v>
      </c>
      <c r="X27" s="201">
        <v>9.4730000000000005E-3</v>
      </c>
      <c r="Y27" s="151"/>
      <c r="Z27" s="40"/>
      <c r="AA27" s="40"/>
    </row>
    <row r="28" spans="2:27" ht="15" customHeight="1" x14ac:dyDescent="0.25">
      <c r="B28" s="79"/>
      <c r="F28" s="29"/>
      <c r="G28" s="29"/>
      <c r="H28" s="29"/>
      <c r="I28" s="29"/>
      <c r="J28" s="29"/>
      <c r="K28" s="29"/>
      <c r="L28" s="29"/>
      <c r="M28" s="29"/>
      <c r="N28" s="29"/>
      <c r="O28" s="29"/>
      <c r="P28" s="29"/>
      <c r="Q28" s="29"/>
      <c r="R28" s="29"/>
      <c r="S28" s="29"/>
      <c r="T28" s="22"/>
      <c r="V28" s="151"/>
      <c r="W28" s="61" t="s">
        <v>74</v>
      </c>
      <c r="X28" s="201">
        <v>8.4169999999999991E-3</v>
      </c>
      <c r="Y28" s="151"/>
      <c r="Z28" s="40"/>
      <c r="AA28" s="40"/>
    </row>
    <row r="29" spans="2:27" ht="15" customHeight="1" x14ac:dyDescent="0.25">
      <c r="B29" s="79"/>
      <c r="F29" s="29"/>
      <c r="G29" s="29"/>
      <c r="H29" s="29"/>
      <c r="I29" s="29"/>
      <c r="J29" s="29"/>
      <c r="K29" s="29"/>
      <c r="L29" s="29"/>
      <c r="M29" s="29"/>
      <c r="N29" s="29"/>
      <c r="O29" s="29"/>
      <c r="P29" s="29"/>
      <c r="Q29" s="29"/>
      <c r="R29" s="29"/>
      <c r="S29" s="29"/>
      <c r="T29" s="22"/>
      <c r="V29" s="151"/>
      <c r="W29" s="61" t="s">
        <v>317</v>
      </c>
      <c r="X29" s="201">
        <v>6.7999999999999996E-3</v>
      </c>
      <c r="Y29" s="151"/>
      <c r="Z29" s="40"/>
      <c r="AA29" s="40"/>
    </row>
    <row r="30" spans="2:27" ht="15" customHeight="1" x14ac:dyDescent="0.25">
      <c r="B30" s="79"/>
      <c r="F30" s="29"/>
      <c r="G30" s="29"/>
      <c r="H30" s="29"/>
      <c r="I30" s="29"/>
      <c r="J30" s="29"/>
      <c r="K30" s="29"/>
      <c r="L30" s="29"/>
      <c r="M30" s="29"/>
      <c r="N30" s="29"/>
      <c r="O30" s="29"/>
      <c r="P30" s="29"/>
      <c r="Q30" s="29"/>
      <c r="R30" s="29"/>
      <c r="S30" s="29"/>
      <c r="T30" s="22"/>
      <c r="V30" s="151"/>
      <c r="W30" s="56" t="s">
        <v>121</v>
      </c>
      <c r="X30" s="201">
        <v>6.5209999999999999E-3</v>
      </c>
      <c r="Y30" s="151"/>
      <c r="Z30" s="40"/>
      <c r="AA30" s="40"/>
    </row>
    <row r="31" spans="2:27" ht="15" customHeight="1" x14ac:dyDescent="0.25">
      <c r="B31" s="79"/>
      <c r="F31" s="29"/>
      <c r="G31" s="29"/>
      <c r="H31" s="29"/>
      <c r="I31" s="29"/>
      <c r="J31" s="29"/>
      <c r="K31" s="29"/>
      <c r="L31" s="29"/>
      <c r="M31" s="29"/>
      <c r="N31" s="29"/>
      <c r="O31" s="29"/>
      <c r="P31" s="29"/>
      <c r="Q31" s="29"/>
      <c r="R31" s="29"/>
      <c r="S31" s="29"/>
      <c r="T31" s="22"/>
      <c r="V31" s="151"/>
      <c r="W31" s="56" t="s">
        <v>179</v>
      </c>
      <c r="X31" s="201">
        <v>5.986E-3</v>
      </c>
      <c r="Y31" s="151"/>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9" t="s">
        <v>105</v>
      </c>
      <c r="X32" s="201">
        <v>5.5370000000000003E-3</v>
      </c>
    </row>
    <row r="33" spans="2:24" ht="15" customHeight="1" thickBot="1" x14ac:dyDescent="0.3">
      <c r="W33" s="19" t="s">
        <v>82</v>
      </c>
      <c r="X33" s="201">
        <v>5.2160000000000002E-3</v>
      </c>
    </row>
    <row r="34" spans="2:24" ht="15" customHeight="1" x14ac:dyDescent="0.25">
      <c r="B34" s="306" t="s">
        <v>177</v>
      </c>
      <c r="C34" s="307"/>
      <c r="D34" s="307"/>
      <c r="E34" s="307"/>
      <c r="F34" s="307"/>
      <c r="G34" s="307"/>
      <c r="H34" s="307"/>
      <c r="I34" s="307"/>
      <c r="J34" s="307"/>
      <c r="K34" s="307"/>
      <c r="L34" s="307"/>
      <c r="M34" s="307"/>
      <c r="N34" s="307"/>
      <c r="O34" s="307"/>
      <c r="P34" s="307"/>
      <c r="Q34" s="307"/>
      <c r="R34" s="308"/>
      <c r="W34" s="19" t="s">
        <v>123</v>
      </c>
      <c r="X34" s="201">
        <v>4.9810000000000002E-3</v>
      </c>
    </row>
    <row r="35" spans="2:24" ht="15" customHeight="1" x14ac:dyDescent="0.25">
      <c r="B35" s="309"/>
      <c r="C35" s="310"/>
      <c r="D35" s="310"/>
      <c r="E35" s="310"/>
      <c r="F35" s="310"/>
      <c r="G35" s="310"/>
      <c r="H35" s="310"/>
      <c r="I35" s="310"/>
      <c r="J35" s="310"/>
      <c r="K35" s="310"/>
      <c r="L35" s="310"/>
      <c r="M35" s="310"/>
      <c r="N35" s="310"/>
      <c r="O35" s="310"/>
      <c r="P35" s="310"/>
      <c r="Q35" s="310"/>
      <c r="R35" s="311"/>
      <c r="W35" s="19" t="s">
        <v>115</v>
      </c>
      <c r="X35" s="201">
        <v>3.7799999999999999E-3</v>
      </c>
    </row>
    <row r="36" spans="2:24" ht="15" customHeight="1" x14ac:dyDescent="0.25">
      <c r="B36" s="309"/>
      <c r="C36" s="310"/>
      <c r="D36" s="310"/>
      <c r="E36" s="310"/>
      <c r="F36" s="310"/>
      <c r="G36" s="310"/>
      <c r="H36" s="310"/>
      <c r="I36" s="310"/>
      <c r="J36" s="310"/>
      <c r="K36" s="310"/>
      <c r="L36" s="310"/>
      <c r="M36" s="310"/>
      <c r="N36" s="310"/>
      <c r="O36" s="310"/>
      <c r="P36" s="310"/>
      <c r="Q36" s="310"/>
      <c r="R36" s="311"/>
      <c r="W36" s="19" t="s">
        <v>107</v>
      </c>
      <c r="X36" s="201">
        <v>3.4039999999999999E-3</v>
      </c>
    </row>
    <row r="37" spans="2:24" ht="15" customHeight="1" x14ac:dyDescent="0.25">
      <c r="B37" s="309"/>
      <c r="C37" s="310"/>
      <c r="D37" s="310"/>
      <c r="E37" s="310"/>
      <c r="F37" s="310"/>
      <c r="G37" s="310"/>
      <c r="H37" s="310"/>
      <c r="I37" s="310"/>
      <c r="J37" s="310"/>
      <c r="K37" s="310"/>
      <c r="L37" s="310"/>
      <c r="M37" s="310"/>
      <c r="N37" s="310"/>
      <c r="O37" s="310"/>
      <c r="P37" s="310"/>
      <c r="Q37" s="310"/>
      <c r="R37" s="311"/>
      <c r="W37" s="19" t="s">
        <v>111</v>
      </c>
      <c r="X37" s="201">
        <v>1.6739999999999999E-3</v>
      </c>
    </row>
    <row r="38" spans="2:24" ht="15" customHeight="1" x14ac:dyDescent="0.25">
      <c r="B38" s="309"/>
      <c r="C38" s="310"/>
      <c r="D38" s="310"/>
      <c r="E38" s="310"/>
      <c r="F38" s="310"/>
      <c r="G38" s="310"/>
      <c r="H38" s="310"/>
      <c r="I38" s="310"/>
      <c r="J38" s="310"/>
      <c r="K38" s="310"/>
      <c r="L38" s="310"/>
      <c r="M38" s="310"/>
      <c r="N38" s="310"/>
      <c r="O38" s="310"/>
      <c r="P38" s="310"/>
      <c r="Q38" s="310"/>
      <c r="R38" s="311"/>
      <c r="X38" s="201"/>
    </row>
    <row r="39" spans="2:24" ht="15" customHeight="1" x14ac:dyDescent="0.25">
      <c r="B39" s="309"/>
      <c r="C39" s="310"/>
      <c r="D39" s="310"/>
      <c r="E39" s="310"/>
      <c r="F39" s="310"/>
      <c r="G39" s="310"/>
      <c r="H39" s="310"/>
      <c r="I39" s="310"/>
      <c r="J39" s="310"/>
      <c r="K39" s="310"/>
      <c r="L39" s="310"/>
      <c r="M39" s="310"/>
      <c r="N39" s="310"/>
      <c r="O39" s="310"/>
      <c r="P39" s="310"/>
      <c r="Q39" s="310"/>
      <c r="R39" s="311"/>
      <c r="X39" s="201"/>
    </row>
    <row r="40" spans="2:24" ht="21.75" customHeight="1" thickBot="1" x14ac:dyDescent="0.3">
      <c r="B40" s="312"/>
      <c r="C40" s="313"/>
      <c r="D40" s="313"/>
      <c r="E40" s="313"/>
      <c r="F40" s="313"/>
      <c r="G40" s="313"/>
      <c r="H40" s="313"/>
      <c r="I40" s="313"/>
      <c r="J40" s="313"/>
      <c r="K40" s="313"/>
      <c r="L40" s="313"/>
      <c r="M40" s="313"/>
      <c r="N40" s="313"/>
      <c r="O40" s="313"/>
      <c r="P40" s="313"/>
      <c r="Q40" s="313"/>
      <c r="R40" s="314"/>
      <c r="X40" s="201"/>
    </row>
    <row r="41" spans="2:24" ht="15" customHeight="1" x14ac:dyDescent="0.25">
      <c r="X41" s="201"/>
    </row>
    <row r="42" spans="2:24" ht="15" customHeight="1" x14ac:dyDescent="0.25">
      <c r="X42" s="201"/>
    </row>
    <row r="43" spans="2:24" ht="15" customHeight="1" x14ac:dyDescent="0.25">
      <c r="X43" s="201"/>
    </row>
    <row r="44" spans="2:24" ht="15" customHeight="1" x14ac:dyDescent="0.25">
      <c r="X44" s="201"/>
    </row>
    <row r="45" spans="2:24" ht="15" customHeight="1" x14ac:dyDescent="0.25">
      <c r="X45" s="20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dimension ref="A1:Y68"/>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5" t="s">
        <v>200</v>
      </c>
      <c r="D3" s="316"/>
      <c r="E3" s="316"/>
      <c r="F3" s="316"/>
      <c r="G3" s="316"/>
      <c r="H3" s="316"/>
      <c r="I3" s="316"/>
      <c r="J3" s="316"/>
      <c r="K3" s="316"/>
      <c r="L3" s="316"/>
      <c r="M3" s="316"/>
      <c r="N3" s="316"/>
      <c r="O3" s="316"/>
      <c r="P3" s="316"/>
      <c r="Q3" s="316"/>
      <c r="R3" s="316"/>
      <c r="S3" s="316"/>
      <c r="T3" s="22"/>
    </row>
    <row r="4" spans="1:24" ht="15.75" customHeight="1" x14ac:dyDescent="0.25">
      <c r="B4" s="79"/>
      <c r="C4" s="67" t="s">
        <v>430</v>
      </c>
      <c r="D4" s="29"/>
      <c r="E4" s="29"/>
      <c r="F4" s="29"/>
      <c r="G4" s="29"/>
      <c r="H4" s="29"/>
      <c r="I4" s="29"/>
      <c r="J4" s="29"/>
      <c r="K4" s="29"/>
      <c r="L4" s="29"/>
      <c r="M4" s="29"/>
      <c r="N4" s="29"/>
      <c r="O4" s="29"/>
      <c r="P4" s="29"/>
      <c r="Q4" s="29"/>
      <c r="R4" s="29"/>
      <c r="S4" s="29"/>
      <c r="T4" s="22"/>
    </row>
    <row r="5" spans="1:24" ht="18" customHeight="1" x14ac:dyDescent="0.25">
      <c r="B5" s="79"/>
      <c r="C5" s="211" t="s">
        <v>431</v>
      </c>
      <c r="D5" s="317" t="s">
        <v>392</v>
      </c>
      <c r="E5" s="317"/>
      <c r="F5" s="29"/>
      <c r="G5" s="14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48" t="s">
        <v>2</v>
      </c>
    </row>
    <row r="8" spans="1:24" ht="15" customHeight="1" x14ac:dyDescent="0.25">
      <c r="B8" s="79"/>
      <c r="C8" s="184" t="s">
        <v>263</v>
      </c>
      <c r="D8" s="185" t="s">
        <v>110</v>
      </c>
      <c r="E8" s="186">
        <v>3.1366999999999999E-2</v>
      </c>
      <c r="F8" s="29"/>
      <c r="G8" s="29"/>
      <c r="H8" s="29"/>
      <c r="I8" s="29"/>
      <c r="J8" s="29"/>
      <c r="K8" s="29"/>
      <c r="L8" s="29"/>
      <c r="M8" s="29"/>
      <c r="N8" s="29"/>
      <c r="O8" s="29"/>
      <c r="P8" s="29"/>
      <c r="Q8" s="29"/>
      <c r="R8" s="29"/>
      <c r="S8" s="29"/>
      <c r="T8" s="22"/>
      <c r="W8" s="166" t="s">
        <v>4</v>
      </c>
      <c r="X8" s="167">
        <v>0.10655699999999999</v>
      </c>
    </row>
    <row r="9" spans="1:24" ht="15.75" customHeight="1" x14ac:dyDescent="0.25">
      <c r="B9" s="79"/>
      <c r="C9" s="180" t="s">
        <v>244</v>
      </c>
      <c r="D9" s="187" t="s">
        <v>112</v>
      </c>
      <c r="E9" s="188">
        <v>2.5197000000000001E-2</v>
      </c>
      <c r="F9" s="29"/>
      <c r="G9" s="29"/>
      <c r="H9" s="29"/>
      <c r="I9" s="29"/>
      <c r="J9" s="29"/>
      <c r="K9" s="29"/>
      <c r="L9" s="29"/>
      <c r="M9" s="29"/>
      <c r="N9" s="29"/>
      <c r="O9" s="29"/>
      <c r="P9" s="29"/>
      <c r="Q9" s="29"/>
      <c r="R9" s="29"/>
      <c r="S9" s="29"/>
      <c r="T9" s="22"/>
      <c r="W9" s="166" t="s">
        <v>108</v>
      </c>
      <c r="X9" s="167">
        <v>8.4350999999999995E-2</v>
      </c>
    </row>
    <row r="10" spans="1:24" ht="15" customHeight="1" x14ac:dyDescent="0.25">
      <c r="B10" s="79"/>
      <c r="C10" s="180" t="s">
        <v>245</v>
      </c>
      <c r="D10" s="187" t="s">
        <v>3</v>
      </c>
      <c r="E10" s="188">
        <v>2.3816E-2</v>
      </c>
      <c r="F10" s="29"/>
      <c r="G10" s="29"/>
      <c r="H10" s="29"/>
      <c r="I10" s="29"/>
      <c r="J10" s="29"/>
      <c r="K10" s="29"/>
      <c r="L10" s="29"/>
      <c r="M10" s="29"/>
      <c r="N10" s="29"/>
      <c r="O10" s="29"/>
      <c r="P10" s="29"/>
      <c r="Q10" s="29"/>
      <c r="R10" s="29"/>
      <c r="S10" s="29"/>
      <c r="T10" s="22"/>
      <c r="W10" s="166" t="s">
        <v>110</v>
      </c>
      <c r="X10" s="167">
        <v>8.4147E-2</v>
      </c>
    </row>
    <row r="11" spans="1:24" ht="15" customHeight="1" x14ac:dyDescent="0.25">
      <c r="B11" s="79"/>
      <c r="C11" s="180" t="s">
        <v>182</v>
      </c>
      <c r="D11" s="187" t="s">
        <v>4</v>
      </c>
      <c r="E11" s="188">
        <v>2.0448000000000001E-2</v>
      </c>
      <c r="F11" s="29"/>
      <c r="G11" s="29"/>
      <c r="H11" s="29"/>
      <c r="I11" s="29"/>
      <c r="J11" s="29"/>
      <c r="K11" s="29"/>
      <c r="L11" s="29"/>
      <c r="M11" s="29"/>
      <c r="N11" s="29"/>
      <c r="O11" s="29"/>
      <c r="P11" s="29"/>
      <c r="Q11" s="29"/>
      <c r="R11" s="29"/>
      <c r="S11" s="29"/>
      <c r="T11" s="22"/>
      <c r="W11" s="166" t="s">
        <v>3</v>
      </c>
      <c r="X11" s="167">
        <v>6.1826000000000006E-2</v>
      </c>
    </row>
    <row r="12" spans="1:24" ht="15" customHeight="1" x14ac:dyDescent="0.25">
      <c r="B12" s="79"/>
      <c r="C12" s="180" t="s">
        <v>329</v>
      </c>
      <c r="D12" s="187" t="s">
        <v>113</v>
      </c>
      <c r="E12" s="188">
        <v>1.8145000000000001E-2</v>
      </c>
      <c r="F12" s="29"/>
      <c r="G12" s="29"/>
      <c r="H12" s="29"/>
      <c r="I12" s="29"/>
      <c r="J12" s="29"/>
      <c r="K12" s="29"/>
      <c r="L12" s="29"/>
      <c r="M12" s="29"/>
      <c r="N12" s="29"/>
      <c r="O12" s="29"/>
      <c r="P12" s="29"/>
      <c r="Q12" s="29"/>
      <c r="R12" s="29"/>
      <c r="S12" s="29"/>
      <c r="T12" s="22"/>
      <c r="W12" s="166" t="s">
        <v>113</v>
      </c>
      <c r="X12" s="167">
        <v>4.6816000000000003E-2</v>
      </c>
    </row>
    <row r="13" spans="1:24" ht="15" customHeight="1" x14ac:dyDescent="0.25">
      <c r="B13" s="79"/>
      <c r="C13" s="180" t="s">
        <v>190</v>
      </c>
      <c r="D13" s="187" t="s">
        <v>116</v>
      </c>
      <c r="E13" s="188">
        <v>1.8005E-2</v>
      </c>
      <c r="F13" s="29"/>
      <c r="G13" s="29"/>
      <c r="H13" s="29"/>
      <c r="I13" s="29"/>
      <c r="J13" s="29"/>
      <c r="K13" s="29"/>
      <c r="L13" s="29"/>
      <c r="M13" s="29"/>
      <c r="N13" s="29"/>
      <c r="O13" s="29"/>
      <c r="P13" s="29"/>
      <c r="Q13" s="29"/>
      <c r="R13" s="29"/>
      <c r="S13" s="29"/>
      <c r="T13" s="22"/>
      <c r="W13" s="166" t="s">
        <v>116</v>
      </c>
      <c r="X13" s="167">
        <v>4.2596000000000002E-2</v>
      </c>
    </row>
    <row r="14" spans="1:24" ht="15" customHeight="1" x14ac:dyDescent="0.25">
      <c r="B14" s="79"/>
      <c r="C14" s="180" t="s">
        <v>69</v>
      </c>
      <c r="D14" s="187" t="s">
        <v>4</v>
      </c>
      <c r="E14" s="188">
        <v>1.6827999999999999E-2</v>
      </c>
      <c r="F14" s="29"/>
      <c r="G14" s="29"/>
      <c r="H14" s="29"/>
      <c r="I14" s="29"/>
      <c r="J14" s="29"/>
      <c r="K14" s="29"/>
      <c r="L14" s="29"/>
      <c r="M14" s="29"/>
      <c r="N14" s="29"/>
      <c r="O14" s="29"/>
      <c r="P14" s="29"/>
      <c r="Q14" s="29"/>
      <c r="R14" s="29"/>
      <c r="S14" s="29"/>
      <c r="T14" s="22"/>
      <c r="W14" s="166" t="s">
        <v>82</v>
      </c>
      <c r="X14" s="167">
        <v>4.1218000000000005E-2</v>
      </c>
    </row>
    <row r="15" spans="1:24" ht="15" customHeight="1" x14ac:dyDescent="0.25">
      <c r="B15" s="79"/>
      <c r="C15" s="180" t="s">
        <v>191</v>
      </c>
      <c r="D15" s="187" t="s">
        <v>119</v>
      </c>
      <c r="E15" s="188">
        <v>1.6123999999999999E-2</v>
      </c>
      <c r="F15" s="29"/>
      <c r="G15" s="29"/>
      <c r="H15" s="29"/>
      <c r="I15" s="29"/>
      <c r="J15" s="29"/>
      <c r="K15" s="29"/>
      <c r="L15" s="29"/>
      <c r="M15" s="29"/>
      <c r="N15" s="29"/>
      <c r="O15" s="29"/>
      <c r="P15" s="29"/>
      <c r="Q15" s="29"/>
      <c r="R15" s="29"/>
      <c r="S15" s="29"/>
      <c r="T15" s="22"/>
      <c r="W15" s="166" t="s">
        <v>119</v>
      </c>
      <c r="X15" s="167">
        <v>4.0789999999999993E-2</v>
      </c>
    </row>
    <row r="16" spans="1:24" ht="15" customHeight="1" x14ac:dyDescent="0.25">
      <c r="B16" s="79"/>
      <c r="C16" s="180" t="s">
        <v>330</v>
      </c>
      <c r="D16" s="187" t="s">
        <v>74</v>
      </c>
      <c r="E16" s="188">
        <v>1.4196E-2</v>
      </c>
      <c r="F16" s="29"/>
      <c r="G16" s="29"/>
      <c r="H16" s="29"/>
      <c r="I16" s="29"/>
      <c r="J16" s="29"/>
      <c r="K16" s="29"/>
      <c r="L16" s="29"/>
      <c r="M16" s="29"/>
      <c r="N16" s="29"/>
      <c r="O16" s="29"/>
      <c r="P16" s="29"/>
      <c r="Q16" s="29"/>
      <c r="R16" s="29"/>
      <c r="S16" s="29"/>
      <c r="T16" s="22"/>
      <c r="W16" s="166" t="s">
        <v>24</v>
      </c>
      <c r="X16" s="167">
        <v>4.0238999999999997E-2</v>
      </c>
    </row>
    <row r="17" spans="2:24" ht="15" customHeight="1" x14ac:dyDescent="0.25">
      <c r="B17" s="79"/>
      <c r="C17" s="180" t="s">
        <v>73</v>
      </c>
      <c r="D17" s="187" t="s">
        <v>4</v>
      </c>
      <c r="E17" s="188">
        <v>1.3705E-2</v>
      </c>
      <c r="F17" s="29"/>
      <c r="G17" s="29"/>
      <c r="H17" s="29"/>
      <c r="I17" s="29"/>
      <c r="J17" s="29"/>
      <c r="K17" s="29"/>
      <c r="L17" s="29"/>
      <c r="M17" s="29"/>
      <c r="N17" s="29"/>
      <c r="O17" s="29"/>
      <c r="P17" s="29"/>
      <c r="Q17" s="29"/>
      <c r="R17" s="29"/>
      <c r="S17" s="29"/>
      <c r="T17" s="22"/>
      <c r="W17" s="166" t="s">
        <v>16</v>
      </c>
      <c r="X17" s="167">
        <v>3.4312999999999996E-2</v>
      </c>
    </row>
    <row r="18" spans="2:24" ht="15" customHeight="1" x14ac:dyDescent="0.25">
      <c r="B18" s="79"/>
      <c r="C18" s="180" t="s">
        <v>75</v>
      </c>
      <c r="D18" s="187" t="s">
        <v>24</v>
      </c>
      <c r="E18" s="188">
        <v>1.3454000000000001E-2</v>
      </c>
      <c r="F18" s="29"/>
      <c r="G18" s="29"/>
      <c r="H18" s="29"/>
      <c r="I18" s="29"/>
      <c r="J18" s="29"/>
      <c r="K18" s="29"/>
      <c r="L18" s="29"/>
      <c r="M18" s="29"/>
      <c r="N18" s="29"/>
      <c r="O18" s="29"/>
      <c r="P18" s="29"/>
      <c r="Q18" s="29"/>
      <c r="R18" s="29"/>
      <c r="S18" s="29"/>
      <c r="T18" s="22"/>
      <c r="W18" s="166" t="s">
        <v>112</v>
      </c>
      <c r="X18" s="167">
        <v>2.8840000000000001E-2</v>
      </c>
    </row>
    <row r="19" spans="2:24" ht="15" customHeight="1" x14ac:dyDescent="0.25">
      <c r="B19" s="79"/>
      <c r="C19" s="180" t="s">
        <v>196</v>
      </c>
      <c r="D19" s="187" t="s">
        <v>4</v>
      </c>
      <c r="E19" s="188">
        <v>1.2111E-2</v>
      </c>
      <c r="F19" s="29"/>
      <c r="G19" s="29"/>
      <c r="H19" s="29"/>
      <c r="I19" s="29"/>
      <c r="J19" s="29"/>
      <c r="K19" s="29"/>
      <c r="L19" s="29"/>
      <c r="M19" s="29"/>
      <c r="N19" s="29"/>
      <c r="O19" s="29"/>
      <c r="P19" s="29"/>
      <c r="Q19" s="29"/>
      <c r="R19" s="29"/>
      <c r="S19" s="29"/>
      <c r="T19" s="22"/>
      <c r="W19" s="166" t="s">
        <v>74</v>
      </c>
      <c r="X19" s="167">
        <v>2.8097E-2</v>
      </c>
    </row>
    <row r="20" spans="2:24" ht="15" customHeight="1" x14ac:dyDescent="0.25">
      <c r="B20" s="79"/>
      <c r="C20" s="180" t="s">
        <v>254</v>
      </c>
      <c r="D20" s="187" t="s">
        <v>3</v>
      </c>
      <c r="E20" s="188">
        <v>1.1823999999999999E-2</v>
      </c>
      <c r="F20" s="29"/>
      <c r="G20" s="29"/>
      <c r="H20" s="29"/>
      <c r="I20" s="29"/>
      <c r="J20" s="29"/>
      <c r="K20" s="29"/>
      <c r="L20" s="29"/>
      <c r="M20" s="29"/>
      <c r="N20" s="29"/>
      <c r="O20" s="29"/>
      <c r="P20" s="29"/>
      <c r="Q20" s="29"/>
      <c r="R20" s="29"/>
      <c r="S20" s="29"/>
      <c r="T20" s="22"/>
      <c r="W20" s="166" t="s">
        <v>107</v>
      </c>
      <c r="X20" s="167">
        <v>2.7588999999999999E-2</v>
      </c>
    </row>
    <row r="21" spans="2:24" ht="15" customHeight="1" x14ac:dyDescent="0.25">
      <c r="B21" s="79"/>
      <c r="C21" s="180" t="s">
        <v>357</v>
      </c>
      <c r="D21" s="187" t="s">
        <v>116</v>
      </c>
      <c r="E21" s="188">
        <v>1.1560000000000001E-2</v>
      </c>
      <c r="F21" s="29"/>
      <c r="G21" s="29"/>
      <c r="H21" s="29"/>
      <c r="I21" s="29"/>
      <c r="J21" s="29"/>
      <c r="K21" s="29"/>
      <c r="L21" s="29"/>
      <c r="M21" s="29"/>
      <c r="N21" s="29"/>
      <c r="O21" s="29"/>
      <c r="P21" s="29"/>
      <c r="Q21" s="29"/>
      <c r="R21" s="29"/>
      <c r="S21" s="29"/>
      <c r="T21" s="22"/>
      <c r="W21" s="166" t="s">
        <v>123</v>
      </c>
      <c r="X21" s="167">
        <v>1.9216E-2</v>
      </c>
    </row>
    <row r="22" spans="2:24" ht="15" customHeight="1" x14ac:dyDescent="0.25">
      <c r="B22" s="79"/>
      <c r="C22" s="180" t="s">
        <v>434</v>
      </c>
      <c r="D22" s="187" t="s">
        <v>110</v>
      </c>
      <c r="E22" s="188">
        <v>1.0853E-2</v>
      </c>
      <c r="F22" s="29"/>
      <c r="G22" s="29"/>
      <c r="H22" s="29"/>
      <c r="I22" s="29"/>
      <c r="J22" s="29"/>
      <c r="K22" s="29"/>
      <c r="L22" s="29"/>
      <c r="M22" s="29"/>
      <c r="N22" s="29"/>
      <c r="O22" s="29"/>
      <c r="P22" s="29"/>
      <c r="Q22" s="29"/>
      <c r="R22" s="29"/>
      <c r="S22" s="29"/>
      <c r="T22" s="22"/>
      <c r="W22" s="166" t="s">
        <v>26</v>
      </c>
      <c r="X22" s="167">
        <v>1.6369000000000002E-2</v>
      </c>
    </row>
    <row r="23" spans="2:24" ht="15" customHeight="1" x14ac:dyDescent="0.25">
      <c r="B23" s="79"/>
      <c r="C23" s="71"/>
      <c r="D23" s="150"/>
      <c r="E23" s="72"/>
      <c r="F23" s="29"/>
      <c r="G23" s="29"/>
      <c r="H23" s="29"/>
      <c r="I23" s="29"/>
      <c r="J23" s="29"/>
      <c r="K23" s="29"/>
      <c r="L23" s="29"/>
      <c r="M23" s="29"/>
      <c r="N23" s="29"/>
      <c r="O23" s="29"/>
      <c r="P23" s="29"/>
      <c r="Q23" s="29"/>
      <c r="R23" s="29"/>
      <c r="S23" s="29"/>
      <c r="T23" s="22"/>
      <c r="W23" s="166" t="s">
        <v>121</v>
      </c>
      <c r="X23" s="167">
        <v>1.5731999999999999E-2</v>
      </c>
    </row>
    <row r="24" spans="2:24" ht="15" customHeight="1" x14ac:dyDescent="0.25">
      <c r="B24" s="79"/>
      <c r="C24" s="73" t="s">
        <v>55</v>
      </c>
      <c r="D24" s="74"/>
      <c r="E24" s="75">
        <f>SUM(E8:E22)</f>
        <v>0.257633</v>
      </c>
      <c r="F24" s="29"/>
      <c r="G24" s="29"/>
      <c r="H24" s="29"/>
      <c r="I24" s="29"/>
      <c r="J24" s="29"/>
      <c r="K24" s="29"/>
      <c r="L24" s="29"/>
      <c r="M24" s="29"/>
      <c r="N24" s="29"/>
      <c r="O24" s="29"/>
      <c r="P24" s="29"/>
      <c r="Q24" s="29"/>
      <c r="R24" s="29"/>
      <c r="S24" s="29"/>
      <c r="T24" s="22"/>
      <c r="W24" s="166" t="s">
        <v>111</v>
      </c>
      <c r="X24" s="167">
        <v>1.4716E-2</v>
      </c>
    </row>
    <row r="25" spans="2:24" ht="15" customHeight="1" x14ac:dyDescent="0.25">
      <c r="B25" s="79"/>
      <c r="F25" s="29"/>
      <c r="G25" s="29"/>
      <c r="H25" s="29"/>
      <c r="I25" s="29"/>
      <c r="J25" s="29"/>
      <c r="K25" s="29"/>
      <c r="L25" s="29"/>
      <c r="M25" s="29"/>
      <c r="N25" s="29"/>
      <c r="O25" s="29"/>
      <c r="P25" s="29"/>
      <c r="Q25" s="29"/>
      <c r="R25" s="29"/>
      <c r="S25" s="29"/>
      <c r="T25" s="22"/>
      <c r="W25" s="166" t="s">
        <v>81</v>
      </c>
      <c r="X25" s="167">
        <v>1.3769999999999999E-2</v>
      </c>
    </row>
    <row r="26" spans="2:24" ht="15" customHeight="1" x14ac:dyDescent="0.25">
      <c r="B26" s="79"/>
      <c r="F26" s="29"/>
      <c r="G26" s="29"/>
      <c r="H26" s="29"/>
      <c r="I26" s="29"/>
      <c r="J26" s="29"/>
      <c r="K26" s="29"/>
      <c r="L26" s="29"/>
      <c r="M26" s="29"/>
      <c r="N26" s="29"/>
      <c r="O26" s="29"/>
      <c r="P26" s="29"/>
      <c r="Q26" s="29"/>
      <c r="R26" s="29"/>
      <c r="S26" s="29"/>
      <c r="T26" s="22"/>
      <c r="W26" s="166" t="s">
        <v>23</v>
      </c>
      <c r="X26" s="167">
        <v>1.3382E-2</v>
      </c>
    </row>
    <row r="27" spans="2:24" ht="15" customHeight="1" x14ac:dyDescent="0.25">
      <c r="B27" s="79"/>
      <c r="F27" s="29"/>
      <c r="G27" s="29"/>
      <c r="H27" s="29"/>
      <c r="I27" s="29"/>
      <c r="J27" s="29"/>
      <c r="K27" s="29"/>
      <c r="L27" s="29"/>
      <c r="M27" s="29"/>
      <c r="N27" s="29"/>
      <c r="O27" s="29"/>
      <c r="P27" s="29"/>
      <c r="Q27" s="29"/>
      <c r="R27" s="29"/>
      <c r="S27" s="29"/>
      <c r="T27" s="22"/>
      <c r="W27" s="166" t="s">
        <v>10</v>
      </c>
      <c r="X27" s="167">
        <v>1.1244000000000001E-2</v>
      </c>
    </row>
    <row r="28" spans="2:24" ht="15" customHeight="1" x14ac:dyDescent="0.25">
      <c r="B28" s="79"/>
      <c r="F28" s="29"/>
      <c r="G28" s="29"/>
      <c r="H28" s="29"/>
      <c r="I28" s="29"/>
      <c r="J28" s="29"/>
      <c r="K28" s="29"/>
      <c r="L28" s="29"/>
      <c r="M28" s="29"/>
      <c r="N28" s="29"/>
      <c r="O28" s="29"/>
      <c r="P28" s="29"/>
      <c r="Q28" s="29"/>
      <c r="R28" s="29"/>
      <c r="S28" s="29"/>
      <c r="T28" s="22"/>
      <c r="W28" s="166" t="s">
        <v>134</v>
      </c>
      <c r="X28" s="167">
        <v>1.0586E-2</v>
      </c>
    </row>
    <row r="29" spans="2:24" ht="15" customHeight="1" x14ac:dyDescent="0.25">
      <c r="B29" s="79"/>
      <c r="F29" s="29"/>
      <c r="G29" s="29"/>
      <c r="H29" s="29"/>
      <c r="I29" s="29"/>
      <c r="J29" s="29"/>
      <c r="K29" s="29"/>
      <c r="L29" s="29"/>
      <c r="M29" s="29"/>
      <c r="N29" s="29"/>
      <c r="O29" s="29"/>
      <c r="P29" s="29"/>
      <c r="Q29" s="29"/>
      <c r="R29" s="29"/>
      <c r="S29" s="29"/>
      <c r="T29" s="22"/>
      <c r="W29" s="166" t="s">
        <v>103</v>
      </c>
      <c r="X29" s="167">
        <v>9.7810000000000015E-3</v>
      </c>
    </row>
    <row r="30" spans="2:24" ht="15" customHeight="1" x14ac:dyDescent="0.25">
      <c r="B30" s="79"/>
      <c r="F30" s="29"/>
      <c r="G30" s="29"/>
      <c r="H30" s="29"/>
      <c r="I30" s="29"/>
      <c r="J30" s="29"/>
      <c r="K30" s="29"/>
      <c r="L30" s="29"/>
      <c r="M30" s="29"/>
      <c r="N30" s="29"/>
      <c r="O30" s="29"/>
      <c r="P30" s="29"/>
      <c r="Q30" s="29"/>
      <c r="R30" s="29"/>
      <c r="S30" s="29"/>
      <c r="T30" s="22"/>
      <c r="W30" s="166" t="s">
        <v>224</v>
      </c>
      <c r="X30" s="167">
        <v>9.1830000000000002E-3</v>
      </c>
    </row>
    <row r="31" spans="2:24" ht="15" customHeight="1" x14ac:dyDescent="0.25">
      <c r="B31" s="79"/>
      <c r="F31" s="29"/>
      <c r="G31" s="29"/>
      <c r="H31" s="29"/>
      <c r="I31" s="29"/>
      <c r="J31" s="29"/>
      <c r="K31" s="29"/>
      <c r="L31" s="29"/>
      <c r="M31" s="29"/>
      <c r="N31" s="29"/>
      <c r="O31" s="29"/>
      <c r="P31" s="29"/>
      <c r="Q31" s="29"/>
      <c r="R31" s="29"/>
      <c r="S31" s="29"/>
      <c r="T31" s="22"/>
      <c r="W31" s="166" t="s">
        <v>104</v>
      </c>
      <c r="X31" s="167">
        <v>9.0219999999999988E-3</v>
      </c>
    </row>
    <row r="32" spans="2:24" ht="15" customHeight="1" x14ac:dyDescent="0.25">
      <c r="B32" s="79"/>
      <c r="F32" s="29"/>
      <c r="G32" s="29"/>
      <c r="H32" s="29"/>
      <c r="I32" s="29"/>
      <c r="J32" s="29"/>
      <c r="K32" s="29"/>
      <c r="L32" s="29"/>
      <c r="M32" s="29"/>
      <c r="N32" s="29"/>
      <c r="O32" s="29"/>
      <c r="P32" s="29"/>
      <c r="Q32" s="29"/>
      <c r="R32" s="29"/>
      <c r="S32" s="29"/>
      <c r="T32" s="22"/>
      <c r="W32" s="166" t="s">
        <v>130</v>
      </c>
      <c r="X32" s="167">
        <v>8.0540000000000004E-3</v>
      </c>
    </row>
    <row r="33" spans="2:24" ht="15.75" customHeight="1" x14ac:dyDescent="0.25">
      <c r="B33" s="79"/>
      <c r="F33" s="29"/>
      <c r="G33" s="29"/>
      <c r="H33" s="29"/>
      <c r="I33" s="29"/>
      <c r="J33" s="29"/>
      <c r="K33" s="29"/>
      <c r="L33" s="29"/>
      <c r="M33" s="29"/>
      <c r="N33" s="29"/>
      <c r="O33" s="29"/>
      <c r="P33" s="29"/>
      <c r="Q33" s="29"/>
      <c r="R33" s="29"/>
      <c r="S33" s="29"/>
      <c r="T33" s="22"/>
      <c r="W33" s="166" t="s">
        <v>11</v>
      </c>
      <c r="X33" s="167">
        <v>6.5709999999999996E-3</v>
      </c>
    </row>
    <row r="34" spans="2:24" ht="15.75" customHeight="1" x14ac:dyDescent="0.25">
      <c r="B34" s="79"/>
      <c r="F34" s="29"/>
      <c r="G34" s="29"/>
      <c r="H34" s="29"/>
      <c r="I34" s="29"/>
      <c r="J34" s="29"/>
      <c r="K34" s="29"/>
      <c r="L34" s="29"/>
      <c r="M34" s="29"/>
      <c r="N34" s="29"/>
      <c r="O34" s="29"/>
      <c r="P34" s="29"/>
      <c r="Q34" s="29"/>
      <c r="R34" s="29"/>
      <c r="S34" s="29"/>
      <c r="T34" s="22"/>
      <c r="W34" s="166" t="s">
        <v>105</v>
      </c>
      <c r="X34" s="167">
        <v>5.0489999999999997E-3</v>
      </c>
    </row>
    <row r="35" spans="2:24" ht="15.75" customHeight="1" x14ac:dyDescent="0.25">
      <c r="B35" s="79"/>
      <c r="F35" s="29"/>
      <c r="G35" s="29"/>
      <c r="H35" s="29"/>
      <c r="I35" s="29"/>
      <c r="J35" s="29"/>
      <c r="K35" s="29"/>
      <c r="L35" s="29"/>
      <c r="M35" s="29"/>
      <c r="N35" s="29"/>
      <c r="O35" s="29"/>
      <c r="P35" s="29"/>
      <c r="Q35" s="29"/>
      <c r="R35" s="29"/>
      <c r="S35" s="29"/>
      <c r="T35" s="22"/>
      <c r="W35" s="166" t="s">
        <v>6</v>
      </c>
      <c r="X35" s="167">
        <v>4.9870000000000001E-3</v>
      </c>
    </row>
    <row r="36" spans="2:24" ht="15.75" customHeight="1" x14ac:dyDescent="0.25">
      <c r="B36" s="79"/>
      <c r="F36" s="29"/>
      <c r="G36" s="29"/>
      <c r="H36" s="29"/>
      <c r="I36" s="29"/>
      <c r="J36" s="29"/>
      <c r="K36" s="29"/>
      <c r="L36" s="29"/>
      <c r="M36" s="29"/>
      <c r="N36" s="29"/>
      <c r="O36" s="29"/>
      <c r="P36" s="29"/>
      <c r="Q36" s="29"/>
      <c r="R36" s="29"/>
      <c r="S36" s="29"/>
      <c r="T36" s="22"/>
      <c r="W36" s="166" t="s">
        <v>122</v>
      </c>
      <c r="X36" s="167">
        <v>4.7980000000000002E-3</v>
      </c>
    </row>
    <row r="37" spans="2:24" ht="15.75" customHeight="1" x14ac:dyDescent="0.25">
      <c r="B37" s="79"/>
      <c r="F37" s="29"/>
      <c r="G37" s="29"/>
      <c r="H37" s="29"/>
      <c r="I37" s="29"/>
      <c r="J37" s="29"/>
      <c r="K37" s="29"/>
      <c r="L37" s="29"/>
      <c r="M37" s="29"/>
      <c r="N37" s="29"/>
      <c r="O37" s="29"/>
      <c r="P37" s="29"/>
      <c r="Q37" s="29"/>
      <c r="R37" s="29"/>
      <c r="S37" s="29"/>
      <c r="T37" s="22"/>
      <c r="W37" s="166" t="s">
        <v>120</v>
      </c>
      <c r="X37" s="167">
        <v>3.1480000000000002E-3</v>
      </c>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W38" s="166" t="s">
        <v>433</v>
      </c>
      <c r="X38" s="167">
        <v>3.081E-3</v>
      </c>
    </row>
    <row r="39" spans="2:24" ht="15" customHeight="1" thickBot="1" x14ac:dyDescent="0.3">
      <c r="W39" s="166" t="s">
        <v>15</v>
      </c>
      <c r="X39" s="167">
        <v>2.5950000000000001E-3</v>
      </c>
    </row>
    <row r="40" spans="2:24" ht="15" customHeight="1" x14ac:dyDescent="0.25">
      <c r="B40" s="306" t="s">
        <v>177</v>
      </c>
      <c r="C40" s="307"/>
      <c r="D40" s="307"/>
      <c r="E40" s="307"/>
      <c r="F40" s="307"/>
      <c r="G40" s="307"/>
      <c r="H40" s="307"/>
      <c r="I40" s="307"/>
      <c r="J40" s="307"/>
      <c r="K40" s="307"/>
      <c r="L40" s="307"/>
      <c r="M40" s="307"/>
      <c r="N40" s="307"/>
      <c r="O40" s="307"/>
      <c r="P40" s="307"/>
      <c r="Q40" s="307"/>
      <c r="R40" s="308"/>
      <c r="W40" s="166" t="s">
        <v>180</v>
      </c>
      <c r="X40" s="167">
        <v>2.5799999999999998E-3</v>
      </c>
    </row>
    <row r="41" spans="2:24" ht="15" customHeight="1" x14ac:dyDescent="0.25">
      <c r="B41" s="309"/>
      <c r="C41" s="310"/>
      <c r="D41" s="310"/>
      <c r="E41" s="310"/>
      <c r="F41" s="310"/>
      <c r="G41" s="310"/>
      <c r="H41" s="310"/>
      <c r="I41" s="310"/>
      <c r="J41" s="310"/>
      <c r="K41" s="310"/>
      <c r="L41" s="310"/>
      <c r="M41" s="310"/>
      <c r="N41" s="310"/>
      <c r="O41" s="310"/>
      <c r="P41" s="310"/>
      <c r="Q41" s="310"/>
      <c r="R41" s="311"/>
      <c r="W41" s="166" t="s">
        <v>92</v>
      </c>
      <c r="X41" s="167">
        <v>2.3809999999999999E-3</v>
      </c>
    </row>
    <row r="42" spans="2:24" ht="15" customHeight="1" x14ac:dyDescent="0.25">
      <c r="B42" s="309"/>
      <c r="C42" s="310"/>
      <c r="D42" s="310"/>
      <c r="E42" s="310"/>
      <c r="F42" s="310"/>
      <c r="G42" s="310"/>
      <c r="H42" s="310"/>
      <c r="I42" s="310"/>
      <c r="J42" s="310"/>
      <c r="K42" s="310"/>
      <c r="L42" s="310"/>
      <c r="M42" s="310"/>
      <c r="N42" s="310"/>
      <c r="O42" s="310"/>
      <c r="P42" s="310"/>
      <c r="Q42" s="310"/>
      <c r="R42" s="311"/>
      <c r="W42" s="166" t="s">
        <v>115</v>
      </c>
      <c r="X42" s="167">
        <v>2.1810000000000002E-3</v>
      </c>
    </row>
    <row r="43" spans="2:24" ht="15" customHeight="1" x14ac:dyDescent="0.25">
      <c r="B43" s="309"/>
      <c r="C43" s="310"/>
      <c r="D43" s="310"/>
      <c r="E43" s="310"/>
      <c r="F43" s="310"/>
      <c r="G43" s="310"/>
      <c r="H43" s="310"/>
      <c r="I43" s="310"/>
      <c r="J43" s="310"/>
      <c r="K43" s="310"/>
      <c r="L43" s="310"/>
      <c r="M43" s="310"/>
      <c r="N43" s="310"/>
      <c r="O43" s="310"/>
      <c r="P43" s="310"/>
      <c r="Q43" s="310"/>
      <c r="R43" s="311"/>
      <c r="W43" s="166" t="s">
        <v>257</v>
      </c>
      <c r="X43" s="167">
        <v>2.019E-3</v>
      </c>
    </row>
    <row r="44" spans="2:24" ht="15" customHeight="1" x14ac:dyDescent="0.25">
      <c r="B44" s="309"/>
      <c r="C44" s="310"/>
      <c r="D44" s="310"/>
      <c r="E44" s="310"/>
      <c r="F44" s="310"/>
      <c r="G44" s="310"/>
      <c r="H44" s="310"/>
      <c r="I44" s="310"/>
      <c r="J44" s="310"/>
      <c r="K44" s="310"/>
      <c r="L44" s="310"/>
      <c r="M44" s="310"/>
      <c r="N44" s="310"/>
      <c r="O44" s="310"/>
      <c r="P44" s="310"/>
      <c r="Q44" s="310"/>
      <c r="R44" s="311"/>
      <c r="W44" s="166" t="s">
        <v>80</v>
      </c>
      <c r="X44" s="167">
        <v>1.843E-3</v>
      </c>
    </row>
    <row r="45" spans="2:24" ht="15" customHeight="1" x14ac:dyDescent="0.25">
      <c r="B45" s="309"/>
      <c r="C45" s="310"/>
      <c r="D45" s="310"/>
      <c r="E45" s="310"/>
      <c r="F45" s="310"/>
      <c r="G45" s="310"/>
      <c r="H45" s="310"/>
      <c r="I45" s="310"/>
      <c r="J45" s="310"/>
      <c r="K45" s="310"/>
      <c r="L45" s="310"/>
      <c r="M45" s="310"/>
      <c r="N45" s="310"/>
      <c r="O45" s="310"/>
      <c r="P45" s="310"/>
      <c r="Q45" s="310"/>
      <c r="R45" s="311"/>
      <c r="W45" s="166" t="s">
        <v>118</v>
      </c>
      <c r="X45" s="167">
        <v>1.748E-3</v>
      </c>
    </row>
    <row r="46" spans="2:24" ht="15" customHeight="1" thickBot="1" x14ac:dyDescent="0.3">
      <c r="B46" s="312"/>
      <c r="C46" s="313"/>
      <c r="D46" s="313"/>
      <c r="E46" s="313"/>
      <c r="F46" s="313"/>
      <c r="G46" s="313"/>
      <c r="H46" s="313"/>
      <c r="I46" s="313"/>
      <c r="J46" s="313"/>
      <c r="K46" s="313"/>
      <c r="L46" s="313"/>
      <c r="M46" s="313"/>
      <c r="N46" s="313"/>
      <c r="O46" s="313"/>
      <c r="P46" s="313"/>
      <c r="Q46" s="313"/>
      <c r="R46" s="314"/>
      <c r="W46" s="166" t="s">
        <v>25</v>
      </c>
      <c r="X46" s="167">
        <v>1.725E-3</v>
      </c>
    </row>
    <row r="47" spans="2:24" ht="15" customHeight="1" x14ac:dyDescent="0.25">
      <c r="W47" s="166" t="s">
        <v>83</v>
      </c>
      <c r="X47" s="167">
        <v>1.529E-3</v>
      </c>
    </row>
    <row r="48" spans="2:24" ht="15" customHeight="1" x14ac:dyDescent="0.25">
      <c r="W48" s="166" t="s">
        <v>317</v>
      </c>
      <c r="X48" s="167">
        <v>1.4450000000000001E-3</v>
      </c>
    </row>
    <row r="49" spans="23:24" ht="15" customHeight="1" x14ac:dyDescent="0.25">
      <c r="W49" s="166" t="s">
        <v>369</v>
      </c>
      <c r="X49" s="167">
        <v>1.0219999999999999E-3</v>
      </c>
    </row>
    <row r="50" spans="23:24" ht="15" customHeight="1" x14ac:dyDescent="0.25">
      <c r="W50" s="166" t="s">
        <v>143</v>
      </c>
      <c r="X50" s="167">
        <v>8.9300000000000002E-4</v>
      </c>
    </row>
    <row r="51" spans="23:24" ht="15" customHeight="1" x14ac:dyDescent="0.25">
      <c r="W51" s="166" t="s">
        <v>109</v>
      </c>
      <c r="X51" s="167">
        <v>8.92E-4</v>
      </c>
    </row>
    <row r="52" spans="23:24" ht="15" customHeight="1" x14ac:dyDescent="0.25">
      <c r="W52" s="166" t="s">
        <v>114</v>
      </c>
      <c r="X52" s="167">
        <v>8.5300000000000003E-4</v>
      </c>
    </row>
    <row r="53" spans="23:24" ht="15" customHeight="1" x14ac:dyDescent="0.25">
      <c r="W53" s="166" t="s">
        <v>208</v>
      </c>
      <c r="X53" s="167">
        <v>5.2599999999999999E-4</v>
      </c>
    </row>
    <row r="54" spans="23:24" ht="15" customHeight="1" x14ac:dyDescent="0.25">
      <c r="W54" s="39" t="s">
        <v>12</v>
      </c>
      <c r="X54" s="167">
        <v>5.1999999999999995E-4</v>
      </c>
    </row>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5" t="s">
        <v>161</v>
      </c>
      <c r="D3" s="316"/>
      <c r="E3" s="316"/>
      <c r="F3" s="316"/>
      <c r="G3" s="316"/>
      <c r="H3" s="316"/>
      <c r="I3" s="316"/>
      <c r="J3" s="316"/>
      <c r="K3" s="316"/>
      <c r="L3" s="316"/>
      <c r="M3" s="316"/>
      <c r="N3" s="316"/>
      <c r="O3" s="316"/>
      <c r="P3" s="316"/>
      <c r="Q3" s="316"/>
      <c r="R3" s="316"/>
      <c r="S3" s="316"/>
      <c r="T3" s="22"/>
    </row>
    <row r="4" spans="1:24" ht="15.75" customHeight="1" x14ac:dyDescent="0.25">
      <c r="B4" s="79"/>
      <c r="C4" s="67" t="s">
        <v>430</v>
      </c>
      <c r="D4" s="29"/>
      <c r="E4" s="29"/>
      <c r="F4" s="29"/>
      <c r="G4" s="29"/>
      <c r="H4" s="29"/>
      <c r="I4" s="29"/>
      <c r="J4" s="29"/>
      <c r="K4" s="29"/>
      <c r="L4" s="29"/>
      <c r="M4" s="29"/>
      <c r="N4" s="29"/>
      <c r="O4" s="29"/>
      <c r="P4" s="29"/>
      <c r="Q4" s="29"/>
      <c r="R4" s="29"/>
      <c r="S4" s="29"/>
      <c r="T4" s="22"/>
    </row>
    <row r="5" spans="1:24" ht="18" customHeight="1" x14ac:dyDescent="0.25">
      <c r="B5" s="79"/>
      <c r="C5" s="211" t="s">
        <v>431</v>
      </c>
      <c r="D5" s="317" t="s">
        <v>393</v>
      </c>
      <c r="E5" s="317"/>
      <c r="F5" s="143"/>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44" t="s">
        <v>0</v>
      </c>
      <c r="D7" s="145" t="s">
        <v>1</v>
      </c>
      <c r="E7" s="144" t="s">
        <v>2</v>
      </c>
      <c r="F7" s="29"/>
      <c r="G7" s="29"/>
      <c r="H7" s="29"/>
      <c r="I7" s="29"/>
      <c r="J7" s="29"/>
      <c r="K7" s="29"/>
      <c r="L7" s="29"/>
      <c r="M7" s="29"/>
      <c r="N7" s="29"/>
      <c r="O7" s="29"/>
      <c r="P7" s="29"/>
      <c r="Q7" s="29"/>
      <c r="R7" s="29"/>
      <c r="S7" s="29"/>
      <c r="T7" s="22"/>
      <c r="W7" s="39" t="s">
        <v>22</v>
      </c>
      <c r="X7" s="39" t="s">
        <v>2</v>
      </c>
    </row>
    <row r="8" spans="1:24" ht="15" customHeight="1" x14ac:dyDescent="0.25">
      <c r="B8" s="79"/>
      <c r="C8" s="180" t="s">
        <v>176</v>
      </c>
      <c r="D8" s="187" t="s">
        <v>24</v>
      </c>
      <c r="E8" s="194">
        <v>4.7246999999999997E-2</v>
      </c>
      <c r="F8" s="29"/>
      <c r="G8" s="29"/>
      <c r="H8" s="29"/>
      <c r="I8" s="29"/>
      <c r="J8" s="29"/>
      <c r="K8" s="29"/>
      <c r="L8" s="29"/>
      <c r="M8" s="29"/>
      <c r="N8" s="29"/>
      <c r="O8" s="29"/>
      <c r="P8" s="29"/>
      <c r="Q8" s="29"/>
      <c r="R8" s="29"/>
      <c r="S8" s="29"/>
      <c r="T8" s="22"/>
      <c r="W8" s="61" t="s">
        <v>23</v>
      </c>
      <c r="X8" s="62">
        <v>0.20848800000000001</v>
      </c>
    </row>
    <row r="9" spans="1:24" ht="15.75" customHeight="1" x14ac:dyDescent="0.25">
      <c r="B9" s="79"/>
      <c r="C9" s="180" t="s">
        <v>204</v>
      </c>
      <c r="D9" s="187" t="s">
        <v>23</v>
      </c>
      <c r="E9" s="194">
        <v>3.9879999999999999E-2</v>
      </c>
      <c r="F9" s="29"/>
      <c r="G9" s="29"/>
      <c r="H9" s="29"/>
      <c r="I9" s="29"/>
      <c r="J9" s="29"/>
      <c r="K9" s="29"/>
      <c r="L9" s="29"/>
      <c r="M9" s="29"/>
      <c r="N9" s="29"/>
      <c r="O9" s="29"/>
      <c r="P9" s="29"/>
      <c r="Q9" s="29"/>
      <c r="R9" s="29"/>
      <c r="S9" s="29"/>
      <c r="T9" s="22"/>
      <c r="W9" s="61" t="s">
        <v>116</v>
      </c>
      <c r="X9" s="62">
        <v>9.4538000000000011E-2</v>
      </c>
    </row>
    <row r="10" spans="1:24" ht="15" customHeight="1" x14ac:dyDescent="0.25">
      <c r="B10" s="79"/>
      <c r="C10" s="180" t="s">
        <v>34</v>
      </c>
      <c r="D10" s="187" t="s">
        <v>23</v>
      </c>
      <c r="E10" s="194">
        <v>3.9584000000000001E-2</v>
      </c>
      <c r="F10" s="29"/>
      <c r="G10" s="29"/>
      <c r="H10" s="29"/>
      <c r="I10" s="29"/>
      <c r="J10" s="29"/>
      <c r="K10" s="29"/>
      <c r="L10" s="29"/>
      <c r="M10" s="29"/>
      <c r="N10" s="29"/>
      <c r="O10" s="29"/>
      <c r="P10" s="29"/>
      <c r="Q10" s="29"/>
      <c r="R10" s="29"/>
      <c r="S10" s="29"/>
      <c r="T10" s="22"/>
      <c r="W10" s="61" t="s">
        <v>10</v>
      </c>
      <c r="X10" s="62">
        <v>8.7990000000000013E-2</v>
      </c>
    </row>
    <row r="11" spans="1:24" ht="15" customHeight="1" x14ac:dyDescent="0.25">
      <c r="B11" s="79"/>
      <c r="C11" s="180" t="s">
        <v>31</v>
      </c>
      <c r="D11" s="187" t="s">
        <v>6</v>
      </c>
      <c r="E11" s="194">
        <v>3.7824000000000003E-2</v>
      </c>
      <c r="F11" s="29"/>
      <c r="G11" s="29"/>
      <c r="H11" s="29"/>
      <c r="I11" s="29"/>
      <c r="J11" s="29"/>
      <c r="K11" s="29"/>
      <c r="L11" s="29"/>
      <c r="M11" s="29"/>
      <c r="N11" s="29"/>
      <c r="O11" s="29"/>
      <c r="P11" s="29"/>
      <c r="Q11" s="29"/>
      <c r="R11" s="29"/>
      <c r="S11" s="29"/>
      <c r="T11" s="22"/>
      <c r="W11" s="61" t="s">
        <v>24</v>
      </c>
      <c r="X11" s="62">
        <v>8.4631999999999999E-2</v>
      </c>
    </row>
    <row r="12" spans="1:24" ht="15" customHeight="1" x14ac:dyDescent="0.25">
      <c r="B12" s="79"/>
      <c r="C12" s="180" t="s">
        <v>70</v>
      </c>
      <c r="D12" s="187" t="s">
        <v>12</v>
      </c>
      <c r="E12" s="194">
        <v>3.6020000000000003E-2</v>
      </c>
      <c r="F12" s="29"/>
      <c r="G12" s="29"/>
      <c r="H12" s="29"/>
      <c r="I12" s="29"/>
      <c r="J12" s="29"/>
      <c r="K12" s="29"/>
      <c r="L12" s="29"/>
      <c r="M12" s="29"/>
      <c r="N12" s="29"/>
      <c r="O12" s="29"/>
      <c r="P12" s="29"/>
      <c r="Q12" s="29"/>
      <c r="R12" s="29"/>
      <c r="S12" s="29"/>
      <c r="T12" s="22"/>
      <c r="W12" s="61" t="s">
        <v>121</v>
      </c>
      <c r="X12" s="62">
        <v>5.0811999999999996E-2</v>
      </c>
    </row>
    <row r="13" spans="1:24" ht="15" customHeight="1" x14ac:dyDescent="0.25">
      <c r="B13" s="79"/>
      <c r="C13" s="180" t="s">
        <v>64</v>
      </c>
      <c r="D13" s="187" t="s">
        <v>80</v>
      </c>
      <c r="E13" s="194">
        <v>3.3256000000000001E-2</v>
      </c>
      <c r="F13" s="29"/>
      <c r="G13" s="29"/>
      <c r="H13" s="29"/>
      <c r="I13" s="29"/>
      <c r="J13" s="29"/>
      <c r="K13" s="29"/>
      <c r="L13" s="29"/>
      <c r="M13" s="29"/>
      <c r="N13" s="29"/>
      <c r="O13" s="29"/>
      <c r="P13" s="29"/>
      <c r="Q13" s="29"/>
      <c r="R13" s="29"/>
      <c r="S13" s="29"/>
      <c r="T13" s="22"/>
      <c r="W13" s="61" t="s">
        <v>12</v>
      </c>
      <c r="X13" s="62">
        <v>4.6232000000000002E-2</v>
      </c>
    </row>
    <row r="14" spans="1:24" ht="15" customHeight="1" x14ac:dyDescent="0.25">
      <c r="B14" s="79"/>
      <c r="C14" s="180" t="s">
        <v>126</v>
      </c>
      <c r="D14" s="187" t="s">
        <v>84</v>
      </c>
      <c r="E14" s="194">
        <v>3.2377999999999997E-2</v>
      </c>
      <c r="F14" s="29"/>
      <c r="G14" s="29"/>
      <c r="H14" s="29"/>
      <c r="I14" s="29"/>
      <c r="J14" s="29"/>
      <c r="K14" s="29"/>
      <c r="L14" s="29"/>
      <c r="M14" s="29"/>
      <c r="N14" s="29"/>
      <c r="O14" s="29"/>
      <c r="P14" s="29"/>
      <c r="Q14" s="29"/>
      <c r="R14" s="29"/>
      <c r="S14" s="29"/>
      <c r="T14" s="22"/>
      <c r="W14" s="61" t="s">
        <v>84</v>
      </c>
      <c r="X14" s="62">
        <v>4.4267000000000001E-2</v>
      </c>
    </row>
    <row r="15" spans="1:24" ht="15" customHeight="1" x14ac:dyDescent="0.25">
      <c r="B15" s="79"/>
      <c r="C15" s="180" t="s">
        <v>237</v>
      </c>
      <c r="D15" s="187" t="s">
        <v>127</v>
      </c>
      <c r="E15" s="194">
        <v>3.0762999999999999E-2</v>
      </c>
      <c r="F15" s="29"/>
      <c r="G15" s="29"/>
      <c r="H15" s="29"/>
      <c r="I15" s="29"/>
      <c r="J15" s="29"/>
      <c r="K15" s="29"/>
      <c r="L15" s="29"/>
      <c r="M15" s="29"/>
      <c r="N15" s="29"/>
      <c r="O15" s="29"/>
      <c r="P15" s="29"/>
      <c r="Q15" s="29"/>
      <c r="R15" s="29"/>
      <c r="S15" s="29"/>
      <c r="T15" s="22"/>
      <c r="W15" s="61" t="s">
        <v>134</v>
      </c>
      <c r="X15" s="62">
        <v>3.9410000000000001E-2</v>
      </c>
    </row>
    <row r="16" spans="1:24" ht="15" customHeight="1" x14ac:dyDescent="0.25">
      <c r="B16" s="79"/>
      <c r="C16" s="180" t="s">
        <v>255</v>
      </c>
      <c r="D16" s="187" t="s">
        <v>4</v>
      </c>
      <c r="E16" s="194">
        <v>2.6942000000000001E-2</v>
      </c>
      <c r="F16" s="29"/>
      <c r="G16" s="29"/>
      <c r="H16" s="29"/>
      <c r="I16" s="29"/>
      <c r="J16" s="29"/>
      <c r="K16" s="29"/>
      <c r="L16" s="29"/>
      <c r="M16" s="29"/>
      <c r="N16" s="29"/>
      <c r="O16" s="29"/>
      <c r="P16" s="29"/>
      <c r="Q16" s="29"/>
      <c r="R16" s="29"/>
      <c r="S16" s="29"/>
      <c r="T16" s="22"/>
      <c r="W16" s="61" t="s">
        <v>107</v>
      </c>
      <c r="X16" s="62">
        <v>3.8249999999999999E-2</v>
      </c>
    </row>
    <row r="17" spans="2:24" ht="15" customHeight="1" x14ac:dyDescent="0.25">
      <c r="B17" s="79"/>
      <c r="C17" s="180" t="s">
        <v>144</v>
      </c>
      <c r="D17" s="187" t="s">
        <v>23</v>
      </c>
      <c r="E17" s="194">
        <v>2.6487E-2</v>
      </c>
      <c r="F17" s="29"/>
      <c r="G17" s="29"/>
      <c r="H17" s="29"/>
      <c r="I17" s="29"/>
      <c r="J17" s="29"/>
      <c r="K17" s="29"/>
      <c r="L17" s="29"/>
      <c r="M17" s="29"/>
      <c r="N17" s="29"/>
      <c r="O17" s="29"/>
      <c r="P17" s="29"/>
      <c r="Q17" s="29"/>
      <c r="R17" s="29"/>
      <c r="S17" s="29"/>
      <c r="T17" s="22"/>
      <c r="W17" s="61" t="s">
        <v>6</v>
      </c>
      <c r="X17" s="62">
        <v>3.7824000000000003E-2</v>
      </c>
    </row>
    <row r="18" spans="2:24" ht="15" customHeight="1" x14ac:dyDescent="0.25">
      <c r="B18" s="79"/>
      <c r="C18" s="180" t="s">
        <v>243</v>
      </c>
      <c r="D18" s="187" t="s">
        <v>23</v>
      </c>
      <c r="E18" s="194">
        <v>2.5104999999999999E-2</v>
      </c>
      <c r="F18" s="29"/>
      <c r="G18" s="29"/>
      <c r="H18" s="29"/>
      <c r="I18" s="29"/>
      <c r="J18" s="29"/>
      <c r="K18" s="29"/>
      <c r="L18" s="29"/>
      <c r="M18" s="29"/>
      <c r="N18" s="29"/>
      <c r="O18" s="29"/>
      <c r="P18" s="29"/>
      <c r="Q18" s="29"/>
      <c r="R18" s="29"/>
      <c r="S18" s="29"/>
      <c r="T18" s="22"/>
      <c r="W18" s="61" t="s">
        <v>127</v>
      </c>
      <c r="X18" s="62">
        <v>3.5066E-2</v>
      </c>
    </row>
    <row r="19" spans="2:24" ht="15" customHeight="1" x14ac:dyDescent="0.25">
      <c r="B19" s="79"/>
      <c r="C19" s="180" t="s">
        <v>264</v>
      </c>
      <c r="D19" s="187" t="s">
        <v>23</v>
      </c>
      <c r="E19" s="194">
        <v>2.0431000000000001E-2</v>
      </c>
      <c r="F19" s="29"/>
      <c r="G19" s="29"/>
      <c r="H19" s="29"/>
      <c r="I19" s="29"/>
      <c r="J19" s="29"/>
      <c r="K19" s="29"/>
      <c r="L19" s="29"/>
      <c r="M19" s="29"/>
      <c r="N19" s="29"/>
      <c r="O19" s="29"/>
      <c r="P19" s="29"/>
      <c r="Q19" s="29"/>
      <c r="R19" s="29"/>
      <c r="S19" s="29"/>
      <c r="T19" s="22"/>
      <c r="W19" s="61" t="s">
        <v>80</v>
      </c>
      <c r="X19" s="62">
        <v>3.3256000000000001E-2</v>
      </c>
    </row>
    <row r="20" spans="2:24" ht="15" customHeight="1" x14ac:dyDescent="0.25">
      <c r="B20" s="79"/>
      <c r="C20" s="180" t="s">
        <v>435</v>
      </c>
      <c r="D20" s="187" t="s">
        <v>116</v>
      </c>
      <c r="E20" s="194">
        <v>1.8932000000000001E-2</v>
      </c>
      <c r="F20" s="29"/>
      <c r="G20" s="29"/>
      <c r="H20" s="29"/>
      <c r="I20" s="29"/>
      <c r="J20" s="29"/>
      <c r="K20" s="29"/>
      <c r="L20" s="29"/>
      <c r="M20" s="29"/>
      <c r="N20" s="29"/>
      <c r="O20" s="29"/>
      <c r="P20" s="29"/>
      <c r="Q20" s="29"/>
      <c r="R20" s="29"/>
      <c r="S20" s="29"/>
      <c r="T20" s="22"/>
      <c r="W20" s="61" t="s">
        <v>25</v>
      </c>
      <c r="X20" s="62">
        <v>2.9505E-2</v>
      </c>
    </row>
    <row r="21" spans="2:24" ht="15" customHeight="1" x14ac:dyDescent="0.25">
      <c r="B21" s="79"/>
      <c r="C21" s="180" t="s">
        <v>436</v>
      </c>
      <c r="D21" s="187" t="s">
        <v>24</v>
      </c>
      <c r="E21" s="194">
        <v>1.8568000000000001E-2</v>
      </c>
      <c r="F21" s="29"/>
      <c r="G21" s="29"/>
      <c r="H21" s="29"/>
      <c r="I21" s="29"/>
      <c r="J21" s="29"/>
      <c r="K21" s="29"/>
      <c r="L21" s="29"/>
      <c r="M21" s="29"/>
      <c r="N21" s="29"/>
      <c r="O21" s="29"/>
      <c r="P21" s="29"/>
      <c r="Q21" s="29"/>
      <c r="R21" s="29"/>
      <c r="S21" s="29"/>
      <c r="T21" s="22"/>
      <c r="W21" s="61" t="s">
        <v>4</v>
      </c>
      <c r="X21" s="62">
        <v>2.8975000000000001E-2</v>
      </c>
    </row>
    <row r="22" spans="2:24" ht="15" customHeight="1" x14ac:dyDescent="0.25">
      <c r="B22" s="79"/>
      <c r="C22" s="180" t="s">
        <v>62</v>
      </c>
      <c r="D22" s="187" t="s">
        <v>10</v>
      </c>
      <c r="E22" s="194">
        <v>1.8168E-2</v>
      </c>
      <c r="F22" s="29"/>
      <c r="G22" s="29"/>
      <c r="H22" s="29"/>
      <c r="I22" s="29"/>
      <c r="J22" s="29"/>
      <c r="K22" s="29"/>
      <c r="L22" s="29"/>
      <c r="M22" s="29"/>
      <c r="N22" s="29"/>
      <c r="O22" s="29"/>
      <c r="P22" s="29"/>
      <c r="Q22" s="29"/>
      <c r="R22" s="29"/>
      <c r="S22" s="29"/>
      <c r="T22" s="22"/>
      <c r="W22" s="56" t="s">
        <v>74</v>
      </c>
      <c r="X22" s="57">
        <v>1.8086000000000001E-2</v>
      </c>
    </row>
    <row r="23" spans="2:24" ht="15" customHeight="1" x14ac:dyDescent="0.25">
      <c r="B23" s="79"/>
      <c r="C23" s="71"/>
      <c r="D23" s="71"/>
      <c r="E23" s="146"/>
      <c r="F23" s="29"/>
      <c r="G23" s="29"/>
      <c r="H23" s="29"/>
      <c r="I23" s="29"/>
      <c r="J23" s="29"/>
      <c r="K23" s="29"/>
      <c r="L23" s="29"/>
      <c r="M23" s="29"/>
      <c r="N23" s="29"/>
      <c r="O23" s="29"/>
      <c r="P23" s="29"/>
      <c r="Q23" s="29"/>
      <c r="R23" s="29"/>
      <c r="S23" s="29"/>
      <c r="T23" s="22"/>
      <c r="W23" s="56" t="s">
        <v>113</v>
      </c>
      <c r="X23" s="57">
        <v>1.7235E-2</v>
      </c>
    </row>
    <row r="24" spans="2:24" ht="15" customHeight="1" x14ac:dyDescent="0.25">
      <c r="B24" s="79"/>
      <c r="C24" s="73" t="s">
        <v>55</v>
      </c>
      <c r="D24" s="74"/>
      <c r="E24" s="75">
        <f>SUM(E8:E22)</f>
        <v>0.45158499999999996</v>
      </c>
      <c r="F24" s="29"/>
      <c r="G24" s="29"/>
      <c r="H24" s="29"/>
      <c r="I24" s="29"/>
      <c r="J24" s="29"/>
      <c r="K24" s="29"/>
      <c r="L24" s="29"/>
      <c r="M24" s="29"/>
      <c r="N24" s="29"/>
      <c r="O24" s="29"/>
      <c r="P24" s="29"/>
      <c r="Q24" s="29"/>
      <c r="R24" s="29"/>
      <c r="S24" s="29"/>
      <c r="T24" s="22"/>
      <c r="W24" s="56" t="s">
        <v>11</v>
      </c>
      <c r="X24" s="57">
        <v>1.4769000000000001E-2</v>
      </c>
    </row>
    <row r="25" spans="2:24" ht="15" customHeight="1" x14ac:dyDescent="0.25">
      <c r="B25" s="79"/>
      <c r="F25" s="29"/>
      <c r="G25" s="29"/>
      <c r="H25" s="29"/>
      <c r="I25" s="29"/>
      <c r="J25" s="29"/>
      <c r="K25" s="29"/>
      <c r="L25" s="29"/>
      <c r="M25" s="29"/>
      <c r="N25" s="29"/>
      <c r="O25" s="29"/>
      <c r="P25" s="29"/>
      <c r="Q25" s="29"/>
      <c r="R25" s="29"/>
      <c r="S25" s="29"/>
      <c r="T25" s="22"/>
      <c r="W25" s="56" t="s">
        <v>120</v>
      </c>
      <c r="X25" s="57">
        <v>8.9770000000000006E-3</v>
      </c>
    </row>
    <row r="26" spans="2:24" ht="15" customHeight="1" x14ac:dyDescent="0.25">
      <c r="B26" s="79"/>
      <c r="F26" s="29"/>
      <c r="G26" s="29"/>
      <c r="H26" s="29"/>
      <c r="I26" s="29"/>
      <c r="J26" s="29"/>
      <c r="K26" s="29"/>
      <c r="L26" s="29"/>
      <c r="M26" s="29"/>
      <c r="N26" s="29"/>
      <c r="O26" s="29"/>
      <c r="P26" s="29"/>
      <c r="Q26" s="29"/>
      <c r="R26" s="29"/>
      <c r="S26" s="29"/>
      <c r="T26" s="22"/>
      <c r="W26" s="56" t="s">
        <v>16</v>
      </c>
      <c r="X26" s="57">
        <v>5.1009999999999996E-3</v>
      </c>
    </row>
    <row r="27" spans="2:24" ht="15" customHeight="1" x14ac:dyDescent="0.25">
      <c r="B27" s="79"/>
      <c r="F27" s="29"/>
      <c r="G27" s="29"/>
      <c r="H27" s="29"/>
      <c r="I27" s="29"/>
      <c r="J27" s="29"/>
      <c r="K27" s="29"/>
      <c r="L27" s="29"/>
      <c r="M27" s="29"/>
      <c r="N27" s="29"/>
      <c r="O27" s="29"/>
      <c r="P27" s="29"/>
      <c r="Q27" s="29"/>
      <c r="R27" s="29"/>
      <c r="S27" s="29"/>
      <c r="T27" s="22"/>
      <c r="W27" s="147" t="s">
        <v>130</v>
      </c>
      <c r="X27" s="148">
        <v>4.8469999999999997E-3</v>
      </c>
    </row>
    <row r="28" spans="2:24" ht="15" customHeight="1" x14ac:dyDescent="0.25">
      <c r="B28" s="79"/>
      <c r="F28" s="29"/>
      <c r="G28" s="29"/>
      <c r="H28" s="29"/>
      <c r="I28" s="29"/>
      <c r="J28" s="29"/>
      <c r="K28" s="29"/>
      <c r="L28" s="29"/>
      <c r="M28" s="29"/>
      <c r="N28" s="29"/>
      <c r="O28" s="29"/>
      <c r="P28" s="29"/>
      <c r="Q28" s="29"/>
      <c r="R28" s="29"/>
      <c r="S28" s="29"/>
      <c r="T28" s="22"/>
      <c r="W28" s="147" t="s">
        <v>110</v>
      </c>
      <c r="X28" s="148">
        <v>3.0950000000000001E-3</v>
      </c>
    </row>
    <row r="29" spans="2:24" ht="15" customHeight="1" x14ac:dyDescent="0.25">
      <c r="B29" s="79"/>
      <c r="F29" s="29"/>
      <c r="G29" s="29"/>
      <c r="H29" s="29"/>
      <c r="I29" s="29"/>
      <c r="J29" s="29"/>
      <c r="K29" s="29"/>
      <c r="L29" s="29"/>
      <c r="M29" s="29"/>
      <c r="N29" s="29"/>
      <c r="O29" s="29"/>
      <c r="P29" s="29"/>
      <c r="Q29" s="29"/>
      <c r="R29" s="29"/>
      <c r="S29" s="29"/>
      <c r="T29" s="22"/>
      <c r="W29" s="39" t="s">
        <v>81</v>
      </c>
      <c r="X29" s="148">
        <v>2.4979999999999998E-3</v>
      </c>
    </row>
    <row r="30" spans="2:24" ht="15" customHeight="1" x14ac:dyDescent="0.25">
      <c r="B30" s="79"/>
      <c r="F30" s="29"/>
      <c r="G30" s="29"/>
      <c r="H30" s="29"/>
      <c r="I30" s="29"/>
      <c r="J30" s="29"/>
      <c r="K30" s="29"/>
      <c r="L30" s="29"/>
      <c r="M30" s="29"/>
      <c r="N30" s="29"/>
      <c r="O30" s="29"/>
      <c r="P30" s="29"/>
      <c r="Q30" s="29"/>
      <c r="R30" s="29"/>
      <c r="S30" s="29"/>
      <c r="T30" s="22"/>
      <c r="X30" s="275"/>
    </row>
    <row r="31" spans="2:24" ht="15" customHeight="1" x14ac:dyDescent="0.25">
      <c r="B31" s="79"/>
      <c r="F31" s="29"/>
      <c r="G31" s="29"/>
      <c r="H31" s="29"/>
      <c r="I31" s="29"/>
      <c r="J31" s="29"/>
      <c r="K31" s="29"/>
      <c r="L31" s="29"/>
      <c r="M31" s="29"/>
      <c r="N31" s="29"/>
      <c r="O31" s="29"/>
      <c r="P31" s="29"/>
      <c r="Q31" s="29"/>
      <c r="R31" s="29"/>
      <c r="S31" s="29"/>
      <c r="T31" s="22"/>
    </row>
    <row r="32" spans="2:24" ht="15.75" customHeight="1" x14ac:dyDescent="0.25">
      <c r="B32" s="79"/>
      <c r="F32" s="29"/>
      <c r="G32" s="29"/>
      <c r="H32" s="29"/>
      <c r="I32" s="29"/>
      <c r="J32" s="29"/>
      <c r="K32" s="29"/>
      <c r="L32" s="29"/>
      <c r="M32" s="29"/>
      <c r="N32" s="29"/>
      <c r="O32" s="29"/>
      <c r="P32" s="29"/>
      <c r="Q32" s="29"/>
      <c r="R32" s="29"/>
      <c r="S32" s="29"/>
      <c r="T32" s="22"/>
    </row>
    <row r="33" spans="2:20" ht="15" customHeight="1" x14ac:dyDescent="0.25">
      <c r="B33" s="79"/>
      <c r="F33" s="29"/>
      <c r="G33" s="29"/>
      <c r="H33" s="29"/>
      <c r="I33" s="29"/>
      <c r="J33" s="29"/>
      <c r="K33" s="29"/>
      <c r="L33" s="29"/>
      <c r="M33" s="29"/>
      <c r="N33" s="29"/>
      <c r="O33" s="29"/>
      <c r="P33" s="29"/>
      <c r="Q33" s="29"/>
      <c r="R33" s="29"/>
      <c r="S33" s="29"/>
      <c r="T33" s="22"/>
    </row>
    <row r="34" spans="2:20" ht="15" customHeight="1" thickBot="1" x14ac:dyDescent="0.3">
      <c r="B34" s="80"/>
      <c r="C34" s="81"/>
      <c r="D34" s="81"/>
      <c r="E34" s="81"/>
      <c r="F34" s="81"/>
      <c r="G34" s="81"/>
      <c r="H34" s="81"/>
      <c r="I34" s="81"/>
      <c r="J34" s="81"/>
      <c r="K34" s="81"/>
      <c r="L34" s="81"/>
      <c r="M34" s="81"/>
      <c r="N34" s="81"/>
      <c r="O34" s="81"/>
      <c r="P34" s="81"/>
      <c r="Q34" s="81"/>
      <c r="R34" s="81"/>
      <c r="S34" s="81"/>
      <c r="T34" s="23"/>
    </row>
    <row r="35" spans="2:20" ht="15" customHeight="1" thickBot="1" x14ac:dyDescent="0.3"/>
    <row r="36" spans="2:20" ht="15" customHeight="1" x14ac:dyDescent="0.25">
      <c r="B36" s="306" t="s">
        <v>177</v>
      </c>
      <c r="C36" s="307"/>
      <c r="D36" s="307"/>
      <c r="E36" s="307"/>
      <c r="F36" s="307"/>
      <c r="G36" s="307"/>
      <c r="H36" s="307"/>
      <c r="I36" s="307"/>
      <c r="J36" s="307"/>
      <c r="K36" s="307"/>
      <c r="L36" s="307"/>
      <c r="M36" s="307"/>
      <c r="N36" s="307"/>
      <c r="O36" s="307"/>
      <c r="P36" s="307"/>
      <c r="Q36" s="307"/>
      <c r="R36" s="308"/>
    </row>
    <row r="37" spans="2:20" ht="15" customHeight="1" x14ac:dyDescent="0.25">
      <c r="B37" s="309"/>
      <c r="C37" s="310"/>
      <c r="D37" s="310"/>
      <c r="E37" s="310"/>
      <c r="F37" s="310"/>
      <c r="G37" s="310"/>
      <c r="H37" s="310"/>
      <c r="I37" s="310"/>
      <c r="J37" s="310"/>
      <c r="K37" s="310"/>
      <c r="L37" s="310"/>
      <c r="M37" s="310"/>
      <c r="N37" s="310"/>
      <c r="O37" s="310"/>
      <c r="P37" s="310"/>
      <c r="Q37" s="310"/>
      <c r="R37" s="311"/>
    </row>
    <row r="38" spans="2:20" ht="15" customHeight="1" x14ac:dyDescent="0.25">
      <c r="B38" s="309"/>
      <c r="C38" s="310"/>
      <c r="D38" s="310"/>
      <c r="E38" s="310"/>
      <c r="F38" s="310"/>
      <c r="G38" s="310"/>
      <c r="H38" s="310"/>
      <c r="I38" s="310"/>
      <c r="J38" s="310"/>
      <c r="K38" s="310"/>
      <c r="L38" s="310"/>
      <c r="M38" s="310"/>
      <c r="N38" s="310"/>
      <c r="O38" s="310"/>
      <c r="P38" s="310"/>
      <c r="Q38" s="310"/>
      <c r="R38" s="311"/>
    </row>
    <row r="39" spans="2:20" ht="15" customHeight="1" x14ac:dyDescent="0.25">
      <c r="B39" s="309"/>
      <c r="C39" s="310"/>
      <c r="D39" s="310"/>
      <c r="E39" s="310"/>
      <c r="F39" s="310"/>
      <c r="G39" s="310"/>
      <c r="H39" s="310"/>
      <c r="I39" s="310"/>
      <c r="J39" s="310"/>
      <c r="K39" s="310"/>
      <c r="L39" s="310"/>
      <c r="M39" s="310"/>
      <c r="N39" s="310"/>
      <c r="O39" s="310"/>
      <c r="P39" s="310"/>
      <c r="Q39" s="310"/>
      <c r="R39" s="311"/>
    </row>
    <row r="40" spans="2:20" ht="15" customHeight="1" x14ac:dyDescent="0.25">
      <c r="B40" s="309"/>
      <c r="C40" s="310"/>
      <c r="D40" s="310"/>
      <c r="E40" s="310"/>
      <c r="F40" s="310"/>
      <c r="G40" s="310"/>
      <c r="H40" s="310"/>
      <c r="I40" s="310"/>
      <c r="J40" s="310"/>
      <c r="K40" s="310"/>
      <c r="L40" s="310"/>
      <c r="M40" s="310"/>
      <c r="N40" s="310"/>
      <c r="O40" s="310"/>
      <c r="P40" s="310"/>
      <c r="Q40" s="310"/>
      <c r="R40" s="311"/>
    </row>
    <row r="41" spans="2:20" ht="15" customHeight="1" x14ac:dyDescent="0.25">
      <c r="B41" s="309"/>
      <c r="C41" s="310"/>
      <c r="D41" s="310"/>
      <c r="E41" s="310"/>
      <c r="F41" s="310"/>
      <c r="G41" s="310"/>
      <c r="H41" s="310"/>
      <c r="I41" s="310"/>
      <c r="J41" s="310"/>
      <c r="K41" s="310"/>
      <c r="L41" s="310"/>
      <c r="M41" s="310"/>
      <c r="N41" s="310"/>
      <c r="O41" s="310"/>
      <c r="P41" s="310"/>
      <c r="Q41" s="310"/>
      <c r="R41" s="311"/>
    </row>
    <row r="42" spans="2:20" ht="15" customHeight="1" thickBot="1" x14ac:dyDescent="0.3">
      <c r="B42" s="312"/>
      <c r="C42" s="313"/>
      <c r="D42" s="313"/>
      <c r="E42" s="313"/>
      <c r="F42" s="313"/>
      <c r="G42" s="313"/>
      <c r="H42" s="313"/>
      <c r="I42" s="313"/>
      <c r="J42" s="313"/>
      <c r="K42" s="313"/>
      <c r="L42" s="313"/>
      <c r="M42" s="313"/>
      <c r="N42" s="313"/>
      <c r="O42" s="313"/>
      <c r="P42" s="313"/>
      <c r="Q42" s="313"/>
      <c r="R42" s="314"/>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sheetPr codeName="Sheet22"/>
  <dimension ref="A1:X64"/>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315" t="s">
        <v>160</v>
      </c>
      <c r="D3" s="316"/>
      <c r="E3" s="316"/>
      <c r="F3" s="316"/>
      <c r="G3" s="316"/>
      <c r="H3" s="316"/>
      <c r="I3" s="316"/>
      <c r="J3" s="316"/>
      <c r="K3" s="316"/>
      <c r="L3" s="316"/>
      <c r="M3" s="316"/>
      <c r="N3" s="316"/>
      <c r="O3" s="316"/>
      <c r="P3" s="316"/>
      <c r="Q3" s="316"/>
      <c r="R3" s="316"/>
      <c r="S3" s="316"/>
      <c r="T3" s="65"/>
      <c r="U3" s="66"/>
    </row>
    <row r="4" spans="1:24" ht="15.75" customHeight="1" x14ac:dyDescent="0.25">
      <c r="B4" s="64"/>
      <c r="C4" s="67" t="s">
        <v>430</v>
      </c>
      <c r="D4" s="29"/>
      <c r="E4" s="29"/>
      <c r="F4" s="29"/>
      <c r="G4" s="29"/>
      <c r="H4" s="29"/>
      <c r="I4" s="29"/>
      <c r="J4" s="29"/>
      <c r="K4" s="29"/>
      <c r="L4" s="29"/>
      <c r="M4" s="29"/>
      <c r="N4" s="29"/>
      <c r="O4" s="29"/>
      <c r="P4" s="29"/>
      <c r="Q4" s="29"/>
      <c r="R4" s="29"/>
      <c r="S4" s="29"/>
      <c r="T4" s="29"/>
      <c r="U4" s="25"/>
    </row>
    <row r="5" spans="1:24" ht="18" customHeight="1" x14ac:dyDescent="0.25">
      <c r="B5" s="64"/>
      <c r="C5" s="211" t="s">
        <v>431</v>
      </c>
      <c r="D5" s="319" t="s">
        <v>394</v>
      </c>
      <c r="E5" s="319"/>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84" t="s">
        <v>117</v>
      </c>
      <c r="D8" s="185" t="s">
        <v>109</v>
      </c>
      <c r="E8" s="186">
        <v>0.119533</v>
      </c>
      <c r="F8" s="29"/>
      <c r="G8" s="29"/>
      <c r="H8" s="29"/>
      <c r="I8" s="29"/>
      <c r="J8" s="29"/>
      <c r="K8" s="29"/>
      <c r="L8" s="29"/>
      <c r="M8" s="29"/>
      <c r="N8" s="29"/>
      <c r="O8" s="29"/>
      <c r="P8" s="29"/>
      <c r="Q8" s="29"/>
      <c r="R8" s="29"/>
      <c r="S8" s="29"/>
      <c r="T8" s="29"/>
      <c r="U8" s="25"/>
      <c r="W8" s="173" t="s">
        <v>109</v>
      </c>
      <c r="X8" s="224">
        <v>0.44698500000000008</v>
      </c>
    </row>
    <row r="9" spans="1:24" ht="15.75" customHeight="1" x14ac:dyDescent="0.25">
      <c r="B9" s="64"/>
      <c r="C9" s="180" t="s">
        <v>93</v>
      </c>
      <c r="D9" s="187" t="s">
        <v>109</v>
      </c>
      <c r="E9" s="188">
        <v>0.103431</v>
      </c>
      <c r="F9" s="29"/>
      <c r="G9" s="29"/>
      <c r="H9" s="29"/>
      <c r="I9" s="29"/>
      <c r="J9" s="29"/>
      <c r="K9" s="29"/>
      <c r="L9" s="29"/>
      <c r="M9" s="29"/>
      <c r="N9" s="29"/>
      <c r="O9" s="29"/>
      <c r="P9" s="29"/>
      <c r="Q9" s="29"/>
      <c r="R9" s="29"/>
      <c r="S9" s="29"/>
      <c r="T9" s="29"/>
      <c r="U9" s="25"/>
      <c r="W9" s="173" t="s">
        <v>107</v>
      </c>
      <c r="X9" s="224">
        <v>0.250749</v>
      </c>
    </row>
    <row r="10" spans="1:24" ht="15.75" x14ac:dyDescent="0.25">
      <c r="B10" s="64"/>
      <c r="C10" s="180" t="s">
        <v>141</v>
      </c>
      <c r="D10" s="187" t="s">
        <v>109</v>
      </c>
      <c r="E10" s="188">
        <v>7.0789000000000005E-2</v>
      </c>
      <c r="F10" s="29"/>
      <c r="G10" s="29"/>
      <c r="H10" s="29"/>
      <c r="I10" s="29"/>
      <c r="J10" s="29"/>
      <c r="K10" s="29"/>
      <c r="L10" s="29"/>
      <c r="M10" s="29"/>
      <c r="N10" s="29"/>
      <c r="O10" s="29"/>
      <c r="P10" s="29"/>
      <c r="Q10" s="29"/>
      <c r="R10" s="29"/>
      <c r="S10" s="29"/>
      <c r="T10" s="29"/>
      <c r="U10" s="25"/>
      <c r="W10" s="173" t="s">
        <v>121</v>
      </c>
      <c r="X10" s="224">
        <v>0.101636</v>
      </c>
    </row>
    <row r="11" spans="1:24" ht="15.75" customHeight="1" x14ac:dyDescent="0.25">
      <c r="B11" s="64"/>
      <c r="C11" s="180" t="s">
        <v>77</v>
      </c>
      <c r="D11" s="187" t="s">
        <v>109</v>
      </c>
      <c r="E11" s="188">
        <v>5.253E-2</v>
      </c>
      <c r="F11" s="29"/>
      <c r="G11" s="29"/>
      <c r="H11" s="29"/>
      <c r="I11" s="29"/>
      <c r="J11" s="29"/>
      <c r="K11" s="29"/>
      <c r="L11" s="29"/>
      <c r="M11" s="29"/>
      <c r="N11" s="29"/>
      <c r="O11" s="29"/>
      <c r="P11" s="29"/>
      <c r="Q11" s="29"/>
      <c r="R11" s="29"/>
      <c r="S11" s="29"/>
      <c r="T11" s="29"/>
      <c r="U11" s="25"/>
      <c r="W11" s="173" t="s">
        <v>26</v>
      </c>
      <c r="X11" s="224">
        <v>4.8684999999999999E-2</v>
      </c>
    </row>
    <row r="12" spans="1:24" ht="15" customHeight="1" x14ac:dyDescent="0.25">
      <c r="B12" s="64"/>
      <c r="C12" s="180" t="s">
        <v>106</v>
      </c>
      <c r="D12" s="187" t="s">
        <v>107</v>
      </c>
      <c r="E12" s="188">
        <v>5.1604999999999998E-2</v>
      </c>
      <c r="F12" s="29"/>
      <c r="G12" s="29"/>
      <c r="H12" s="29"/>
      <c r="I12" s="29"/>
      <c r="J12" s="29"/>
      <c r="K12" s="29"/>
      <c r="L12" s="29"/>
      <c r="M12" s="29"/>
      <c r="N12" s="29"/>
      <c r="O12" s="29"/>
      <c r="P12" s="29"/>
      <c r="Q12" s="29"/>
      <c r="R12" s="29"/>
      <c r="S12" s="29"/>
      <c r="T12" s="29"/>
      <c r="U12" s="25"/>
      <c r="W12" s="173" t="s">
        <v>4</v>
      </c>
      <c r="X12" s="224">
        <v>1.9390999999999999E-2</v>
      </c>
    </row>
    <row r="13" spans="1:24" ht="15" customHeight="1" x14ac:dyDescent="0.25">
      <c r="B13" s="64"/>
      <c r="C13" s="180" t="s">
        <v>213</v>
      </c>
      <c r="D13" s="187" t="s">
        <v>109</v>
      </c>
      <c r="E13" s="188">
        <v>3.8939000000000001E-2</v>
      </c>
      <c r="F13" s="29"/>
      <c r="G13" s="29"/>
      <c r="H13" s="29"/>
      <c r="I13" s="29"/>
      <c r="J13" s="29"/>
      <c r="K13" s="29"/>
      <c r="L13" s="29"/>
      <c r="M13" s="29"/>
      <c r="N13" s="29"/>
      <c r="O13" s="29"/>
      <c r="P13" s="29"/>
      <c r="Q13" s="29"/>
      <c r="R13" s="29"/>
      <c r="S13" s="29"/>
      <c r="T13" s="29"/>
      <c r="U13" s="25"/>
      <c r="W13" s="61" t="s">
        <v>124</v>
      </c>
      <c r="X13" s="62">
        <v>1.8189E-2</v>
      </c>
    </row>
    <row r="14" spans="1:24" ht="15" customHeight="1" x14ac:dyDescent="0.25">
      <c r="B14" s="64"/>
      <c r="C14" s="180" t="s">
        <v>142</v>
      </c>
      <c r="D14" s="187" t="s">
        <v>121</v>
      </c>
      <c r="E14" s="188">
        <v>3.8913999999999997E-2</v>
      </c>
      <c r="F14" s="29"/>
      <c r="G14" s="29"/>
      <c r="H14" s="29"/>
      <c r="I14" s="29"/>
      <c r="J14" s="29"/>
      <c r="K14" s="29"/>
      <c r="L14" s="29"/>
      <c r="M14" s="29"/>
      <c r="N14" s="29"/>
      <c r="O14" s="29"/>
      <c r="P14" s="29"/>
      <c r="Q14" s="29"/>
      <c r="R14" s="29"/>
      <c r="S14" s="29"/>
      <c r="T14" s="29"/>
      <c r="U14" s="25"/>
      <c r="W14" s="61" t="s">
        <v>16</v>
      </c>
      <c r="X14" s="62">
        <v>1.6071999999999999E-2</v>
      </c>
    </row>
    <row r="15" spans="1:24" ht="15" customHeight="1" x14ac:dyDescent="0.25">
      <c r="B15" s="64"/>
      <c r="C15" s="180" t="s">
        <v>358</v>
      </c>
      <c r="D15" s="187" t="s">
        <v>107</v>
      </c>
      <c r="E15" s="188">
        <v>3.773E-2</v>
      </c>
      <c r="F15" s="29"/>
      <c r="G15" s="29"/>
      <c r="H15" s="29"/>
      <c r="I15" s="29"/>
      <c r="J15" s="29"/>
      <c r="K15" s="29"/>
      <c r="L15" s="29"/>
      <c r="M15" s="29"/>
      <c r="N15" s="29"/>
      <c r="O15" s="29"/>
      <c r="P15" s="29"/>
      <c r="Q15" s="29"/>
      <c r="R15" s="29"/>
      <c r="S15" s="29"/>
      <c r="T15" s="29"/>
      <c r="U15" s="25"/>
      <c r="W15" s="61" t="s">
        <v>81</v>
      </c>
      <c r="X15" s="62">
        <v>1.3677E-2</v>
      </c>
    </row>
    <row r="16" spans="1:24" ht="15" customHeight="1" x14ac:dyDescent="0.25">
      <c r="B16" s="64"/>
      <c r="C16" s="180" t="s">
        <v>140</v>
      </c>
      <c r="D16" s="187" t="s">
        <v>109</v>
      </c>
      <c r="E16" s="188">
        <v>3.1419000000000002E-2</v>
      </c>
      <c r="F16" s="29"/>
      <c r="G16" s="29"/>
      <c r="H16" s="29"/>
      <c r="I16" s="29"/>
      <c r="J16" s="29"/>
      <c r="K16" s="29"/>
      <c r="L16" s="29"/>
      <c r="M16" s="29"/>
      <c r="N16" s="29"/>
      <c r="O16" s="29"/>
      <c r="P16" s="29"/>
      <c r="Q16" s="29"/>
      <c r="R16" s="29"/>
      <c r="S16" s="29"/>
      <c r="T16" s="29"/>
      <c r="U16" s="25"/>
      <c r="W16" s="61" t="s">
        <v>24</v>
      </c>
      <c r="X16" s="62">
        <v>1.2E-2</v>
      </c>
    </row>
    <row r="17" spans="2:24" ht="15" customHeight="1" x14ac:dyDescent="0.25">
      <c r="B17" s="64"/>
      <c r="C17" s="180" t="s">
        <v>367</v>
      </c>
      <c r="D17" s="187" t="s">
        <v>26</v>
      </c>
      <c r="E17" s="188">
        <v>3.0447999999999999E-2</v>
      </c>
      <c r="F17" s="29"/>
      <c r="G17" s="29"/>
      <c r="H17" s="29"/>
      <c r="I17" s="29"/>
      <c r="J17" s="29"/>
      <c r="K17" s="29"/>
      <c r="L17" s="29"/>
      <c r="M17" s="29"/>
      <c r="N17" s="29"/>
      <c r="O17" s="29"/>
      <c r="P17" s="29"/>
      <c r="Q17" s="29"/>
      <c r="R17" s="29"/>
      <c r="S17" s="29"/>
      <c r="T17" s="29"/>
      <c r="U17" s="25"/>
      <c r="W17" s="61" t="s">
        <v>127</v>
      </c>
      <c r="X17" s="62">
        <v>5.3090000000000004E-3</v>
      </c>
    </row>
    <row r="18" spans="2:24" ht="15" customHeight="1" x14ac:dyDescent="0.25">
      <c r="B18" s="64"/>
      <c r="C18" s="180" t="s">
        <v>320</v>
      </c>
      <c r="D18" s="187" t="s">
        <v>109</v>
      </c>
      <c r="E18" s="188">
        <v>3.0343999999999999E-2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0" t="s">
        <v>274</v>
      </c>
      <c r="D19" s="187" t="s">
        <v>107</v>
      </c>
      <c r="E19" s="188">
        <v>2.5346E-2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0" t="s">
        <v>331</v>
      </c>
      <c r="D20" s="187" t="s">
        <v>121</v>
      </c>
      <c r="E20" s="188">
        <v>2.0760000000000001E-2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0" t="s">
        <v>296</v>
      </c>
      <c r="D21" s="187" t="s">
        <v>107</v>
      </c>
      <c r="E21" s="188">
        <v>1.9970000000000002E-2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0" t="s">
        <v>437</v>
      </c>
      <c r="D22" s="187" t="s">
        <v>4</v>
      </c>
      <c r="E22" s="188">
        <v>1.9390999999999999E-2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0.69114900000000012</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306" t="s">
        <v>177</v>
      </c>
      <c r="C39" s="307"/>
      <c r="D39" s="307"/>
      <c r="E39" s="307"/>
      <c r="F39" s="307"/>
      <c r="G39" s="307"/>
      <c r="H39" s="307"/>
      <c r="I39" s="307"/>
      <c r="J39" s="307"/>
      <c r="K39" s="307"/>
      <c r="L39" s="307"/>
      <c r="M39" s="307"/>
      <c r="N39" s="307"/>
      <c r="O39" s="307"/>
      <c r="P39" s="307"/>
      <c r="Q39" s="307"/>
      <c r="R39" s="308"/>
      <c r="W39" s="61"/>
      <c r="X39" s="62"/>
    </row>
    <row r="40" spans="2:24" ht="15" customHeight="1" x14ac:dyDescent="0.25">
      <c r="B40" s="309"/>
      <c r="C40" s="310"/>
      <c r="D40" s="310"/>
      <c r="E40" s="310"/>
      <c r="F40" s="310"/>
      <c r="G40" s="310"/>
      <c r="H40" s="310"/>
      <c r="I40" s="310"/>
      <c r="J40" s="310"/>
      <c r="K40" s="310"/>
      <c r="L40" s="310"/>
      <c r="M40" s="310"/>
      <c r="N40" s="310"/>
      <c r="O40" s="310"/>
      <c r="P40" s="310"/>
      <c r="Q40" s="310"/>
      <c r="R40" s="311"/>
      <c r="W40" s="61"/>
      <c r="X40" s="62"/>
    </row>
    <row r="41" spans="2:24" ht="15" customHeight="1" x14ac:dyDescent="0.25">
      <c r="B41" s="309"/>
      <c r="C41" s="310"/>
      <c r="D41" s="310"/>
      <c r="E41" s="310"/>
      <c r="F41" s="310"/>
      <c r="G41" s="310"/>
      <c r="H41" s="310"/>
      <c r="I41" s="310"/>
      <c r="J41" s="310"/>
      <c r="K41" s="310"/>
      <c r="L41" s="310"/>
      <c r="M41" s="310"/>
      <c r="N41" s="310"/>
      <c r="O41" s="310"/>
      <c r="P41" s="310"/>
      <c r="Q41" s="310"/>
      <c r="R41" s="311"/>
      <c r="W41" s="61"/>
      <c r="X41" s="62"/>
    </row>
    <row r="42" spans="2:24" ht="15" customHeight="1" x14ac:dyDescent="0.25">
      <c r="B42" s="309"/>
      <c r="C42" s="310"/>
      <c r="D42" s="310"/>
      <c r="E42" s="310"/>
      <c r="F42" s="310"/>
      <c r="G42" s="310"/>
      <c r="H42" s="310"/>
      <c r="I42" s="310"/>
      <c r="J42" s="310"/>
      <c r="K42" s="310"/>
      <c r="L42" s="310"/>
      <c r="M42" s="310"/>
      <c r="N42" s="310"/>
      <c r="O42" s="310"/>
      <c r="P42" s="310"/>
      <c r="Q42" s="310"/>
      <c r="R42" s="311"/>
      <c r="W42" s="61"/>
      <c r="X42" s="62"/>
    </row>
    <row r="43" spans="2:24" ht="15" customHeight="1" x14ac:dyDescent="0.25">
      <c r="B43" s="309"/>
      <c r="C43" s="310"/>
      <c r="D43" s="310"/>
      <c r="E43" s="310"/>
      <c r="F43" s="310"/>
      <c r="G43" s="310"/>
      <c r="H43" s="310"/>
      <c r="I43" s="310"/>
      <c r="J43" s="310"/>
      <c r="K43" s="310"/>
      <c r="L43" s="310"/>
      <c r="M43" s="310"/>
      <c r="N43" s="310"/>
      <c r="O43" s="310"/>
      <c r="P43" s="310"/>
      <c r="Q43" s="310"/>
      <c r="R43" s="311"/>
    </row>
    <row r="44" spans="2:24" ht="15" customHeight="1" x14ac:dyDescent="0.25">
      <c r="B44" s="309"/>
      <c r="C44" s="310"/>
      <c r="D44" s="310"/>
      <c r="E44" s="310"/>
      <c r="F44" s="310"/>
      <c r="G44" s="310"/>
      <c r="H44" s="310"/>
      <c r="I44" s="310"/>
      <c r="J44" s="310"/>
      <c r="K44" s="310"/>
      <c r="L44" s="310"/>
      <c r="M44" s="310"/>
      <c r="N44" s="310"/>
      <c r="O44" s="310"/>
      <c r="P44" s="310"/>
      <c r="Q44" s="310"/>
      <c r="R44" s="311"/>
    </row>
    <row r="45" spans="2:24" ht="27.75" customHeight="1" thickBot="1" x14ac:dyDescent="0.3">
      <c r="B45" s="312"/>
      <c r="C45" s="313"/>
      <c r="D45" s="313"/>
      <c r="E45" s="313"/>
      <c r="F45" s="313"/>
      <c r="G45" s="313"/>
      <c r="H45" s="313"/>
      <c r="I45" s="313"/>
      <c r="J45" s="313"/>
      <c r="K45" s="313"/>
      <c r="L45" s="313"/>
      <c r="M45" s="313"/>
      <c r="N45" s="313"/>
      <c r="O45" s="313"/>
      <c r="P45" s="313"/>
      <c r="Q45" s="313"/>
      <c r="R45" s="314"/>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sheetPr codeName="Sheet23"/>
  <dimension ref="A1:X64"/>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315" t="s">
        <v>178</v>
      </c>
      <c r="D3" s="316"/>
      <c r="E3" s="316"/>
      <c r="F3" s="316"/>
      <c r="G3" s="316"/>
      <c r="H3" s="316"/>
      <c r="I3" s="316"/>
      <c r="J3" s="316"/>
      <c r="K3" s="316"/>
      <c r="L3" s="316"/>
      <c r="M3" s="316"/>
      <c r="N3" s="316"/>
      <c r="O3" s="316"/>
      <c r="P3" s="316"/>
      <c r="Q3" s="316"/>
      <c r="R3" s="316"/>
      <c r="S3" s="316"/>
      <c r="T3" s="65"/>
      <c r="U3" s="66"/>
    </row>
    <row r="4" spans="1:24" ht="15.75" customHeight="1" x14ac:dyDescent="0.25">
      <c r="B4" s="64"/>
      <c r="C4" s="67" t="s">
        <v>430</v>
      </c>
      <c r="D4" s="29"/>
      <c r="E4" s="29"/>
      <c r="F4" s="29"/>
      <c r="G4" s="29"/>
      <c r="H4" s="29"/>
      <c r="I4" s="29"/>
      <c r="J4" s="29"/>
      <c r="K4" s="29"/>
      <c r="L4" s="29"/>
      <c r="M4" s="29"/>
      <c r="N4" s="29"/>
      <c r="O4" s="29"/>
      <c r="P4" s="29"/>
      <c r="Q4" s="29"/>
      <c r="R4" s="29"/>
      <c r="S4" s="29"/>
      <c r="T4" s="29"/>
      <c r="U4" s="25"/>
    </row>
    <row r="5" spans="1:24" ht="18" customHeight="1" x14ac:dyDescent="0.25">
      <c r="B5" s="64"/>
      <c r="C5" s="211" t="s">
        <v>431</v>
      </c>
      <c r="D5" s="319" t="s">
        <v>395</v>
      </c>
      <c r="E5" s="319"/>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84" t="s">
        <v>29</v>
      </c>
      <c r="D8" s="185" t="s">
        <v>3</v>
      </c>
      <c r="E8" s="186">
        <v>0.19847000000000001</v>
      </c>
      <c r="F8" s="29"/>
      <c r="G8" s="29"/>
      <c r="H8" s="29"/>
      <c r="I8" s="29"/>
      <c r="J8" s="29"/>
      <c r="K8" s="29"/>
      <c r="L8" s="29"/>
      <c r="M8" s="29"/>
      <c r="N8" s="29"/>
      <c r="O8" s="29"/>
      <c r="P8" s="29"/>
      <c r="Q8" s="29"/>
      <c r="R8" s="29"/>
      <c r="S8" s="29"/>
      <c r="T8" s="29"/>
      <c r="U8" s="25"/>
      <c r="W8" s="173" t="s">
        <v>3</v>
      </c>
      <c r="X8" s="172">
        <v>0.53891299999999998</v>
      </c>
    </row>
    <row r="9" spans="1:24" ht="15.75" customHeight="1" x14ac:dyDescent="0.25">
      <c r="B9" s="64"/>
      <c r="C9" s="180" t="s">
        <v>32</v>
      </c>
      <c r="D9" s="187" t="s">
        <v>3</v>
      </c>
      <c r="E9" s="188">
        <v>0.160773</v>
      </c>
      <c r="F9" s="29"/>
      <c r="G9" s="29"/>
      <c r="H9" s="29"/>
      <c r="I9" s="29"/>
      <c r="J9" s="29"/>
      <c r="K9" s="29"/>
      <c r="L9" s="29"/>
      <c r="M9" s="29"/>
      <c r="N9" s="29"/>
      <c r="O9" s="29"/>
      <c r="P9" s="29"/>
      <c r="Q9" s="29"/>
      <c r="R9" s="29"/>
      <c r="S9" s="29"/>
      <c r="T9" s="29"/>
      <c r="U9" s="25"/>
      <c r="W9" s="173" t="s">
        <v>4</v>
      </c>
      <c r="X9" s="172">
        <v>0.26615500000000003</v>
      </c>
    </row>
    <row r="10" spans="1:24" ht="15.75" x14ac:dyDescent="0.25">
      <c r="B10" s="64"/>
      <c r="C10" s="180" t="s">
        <v>36</v>
      </c>
      <c r="D10" s="187" t="s">
        <v>3</v>
      </c>
      <c r="E10" s="188">
        <v>9.2207999999999998E-2</v>
      </c>
      <c r="F10" s="29"/>
      <c r="G10" s="29"/>
      <c r="H10" s="29"/>
      <c r="I10" s="29"/>
      <c r="J10" s="29"/>
      <c r="K10" s="29"/>
      <c r="L10" s="29"/>
      <c r="M10" s="29"/>
      <c r="N10" s="29"/>
      <c r="O10" s="29"/>
      <c r="P10" s="29"/>
      <c r="Q10" s="29"/>
      <c r="R10" s="29"/>
      <c r="S10" s="29"/>
      <c r="T10" s="29"/>
      <c r="U10" s="25"/>
      <c r="W10" s="173" t="s">
        <v>83</v>
      </c>
      <c r="X10" s="172">
        <v>8.5513000000000006E-2</v>
      </c>
    </row>
    <row r="11" spans="1:24" ht="15.75" customHeight="1" x14ac:dyDescent="0.25">
      <c r="B11" s="64"/>
      <c r="C11" s="180" t="s">
        <v>35</v>
      </c>
      <c r="D11" s="187" t="s">
        <v>3</v>
      </c>
      <c r="E11" s="188">
        <v>4.2249000000000002E-2</v>
      </c>
      <c r="F11" s="29"/>
      <c r="G11" s="29"/>
      <c r="H11" s="29"/>
      <c r="I11" s="29"/>
      <c r="J11" s="29"/>
      <c r="K11" s="29"/>
      <c r="L11" s="29"/>
      <c r="M11" s="29"/>
      <c r="N11" s="29"/>
      <c r="O11" s="29"/>
      <c r="P11" s="29"/>
      <c r="Q11" s="29"/>
      <c r="R11" s="29"/>
      <c r="S11" s="29"/>
      <c r="T11" s="29"/>
      <c r="U11" s="25"/>
      <c r="W11" s="173" t="s">
        <v>179</v>
      </c>
      <c r="X11" s="172">
        <v>4.0132000000000001E-2</v>
      </c>
    </row>
    <row r="12" spans="1:24" ht="15" customHeight="1" x14ac:dyDescent="0.25">
      <c r="B12" s="64"/>
      <c r="C12" s="180" t="s">
        <v>78</v>
      </c>
      <c r="D12" s="187" t="s">
        <v>4</v>
      </c>
      <c r="E12" s="188">
        <v>3.7520999999999999E-2</v>
      </c>
      <c r="F12" s="29"/>
      <c r="G12" s="29"/>
      <c r="H12" s="29"/>
      <c r="I12" s="29"/>
      <c r="J12" s="29"/>
      <c r="K12" s="29"/>
      <c r="L12" s="29"/>
      <c r="M12" s="29"/>
      <c r="N12" s="29"/>
      <c r="O12" s="29"/>
      <c r="P12" s="29"/>
      <c r="Q12" s="29"/>
      <c r="R12" s="29"/>
      <c r="S12" s="29"/>
      <c r="T12" s="29"/>
      <c r="U12" s="25"/>
      <c r="W12" s="173" t="s">
        <v>82</v>
      </c>
      <c r="X12" s="172">
        <v>2.0789000000000002E-2</v>
      </c>
    </row>
    <row r="13" spans="1:24" ht="15" customHeight="1" x14ac:dyDescent="0.25">
      <c r="B13" s="64"/>
      <c r="C13" s="180" t="s">
        <v>102</v>
      </c>
      <c r="D13" s="187" t="s">
        <v>4</v>
      </c>
      <c r="E13" s="188">
        <v>3.7020999999999998E-2</v>
      </c>
      <c r="F13" s="29"/>
      <c r="G13" s="29"/>
      <c r="H13" s="29"/>
      <c r="I13" s="29"/>
      <c r="J13" s="29"/>
      <c r="K13" s="29"/>
      <c r="L13" s="29"/>
      <c r="M13" s="29"/>
      <c r="N13" s="29"/>
      <c r="O13" s="29"/>
      <c r="P13" s="29"/>
      <c r="Q13" s="29"/>
      <c r="R13" s="29"/>
      <c r="S13" s="29"/>
      <c r="T13" s="29"/>
      <c r="U13" s="25"/>
      <c r="W13" s="61"/>
      <c r="X13" s="62"/>
    </row>
    <row r="14" spans="1:24" ht="15" customHeight="1" x14ac:dyDescent="0.25">
      <c r="B14" s="64"/>
      <c r="C14" s="180" t="s">
        <v>198</v>
      </c>
      <c r="D14" s="187" t="s">
        <v>4</v>
      </c>
      <c r="E14" s="188">
        <v>3.4189999999999998E-2</v>
      </c>
      <c r="F14" s="29"/>
      <c r="G14" s="29"/>
      <c r="H14" s="29"/>
      <c r="I14" s="29"/>
      <c r="J14" s="29"/>
      <c r="K14" s="29"/>
      <c r="L14" s="29"/>
      <c r="M14" s="29"/>
      <c r="N14" s="29"/>
      <c r="O14" s="29"/>
      <c r="P14" s="29"/>
      <c r="Q14" s="29"/>
      <c r="R14" s="29"/>
      <c r="S14" s="29"/>
      <c r="T14" s="29"/>
      <c r="U14" s="25"/>
      <c r="W14" s="61"/>
      <c r="X14" s="62"/>
    </row>
    <row r="15" spans="1:24" ht="15" customHeight="1" x14ac:dyDescent="0.25">
      <c r="B15" s="64"/>
      <c r="C15" s="180" t="s">
        <v>332</v>
      </c>
      <c r="D15" s="187" t="s">
        <v>83</v>
      </c>
      <c r="E15" s="188">
        <v>3.0641999999999999E-2</v>
      </c>
      <c r="F15" s="29"/>
      <c r="G15" s="29"/>
      <c r="H15" s="29"/>
      <c r="I15" s="29"/>
      <c r="J15" s="29"/>
      <c r="K15" s="29"/>
      <c r="L15" s="29"/>
      <c r="M15" s="29"/>
      <c r="N15" s="29"/>
      <c r="O15" s="29"/>
      <c r="P15" s="29"/>
      <c r="Q15" s="29"/>
      <c r="R15" s="29"/>
      <c r="S15" s="29"/>
      <c r="T15" s="29"/>
      <c r="U15" s="25"/>
      <c r="W15" s="61"/>
      <c r="X15" s="62"/>
    </row>
    <row r="16" spans="1:24" ht="15" customHeight="1" x14ac:dyDescent="0.25">
      <c r="B16" s="64"/>
      <c r="C16" s="180" t="s">
        <v>225</v>
      </c>
      <c r="D16" s="187" t="s">
        <v>4</v>
      </c>
      <c r="E16" s="188">
        <v>2.5343999999999998E-2</v>
      </c>
      <c r="F16" s="29"/>
      <c r="G16" s="29"/>
      <c r="H16" s="29"/>
      <c r="I16" s="29"/>
      <c r="J16" s="29"/>
      <c r="K16" s="29"/>
      <c r="L16" s="29"/>
      <c r="M16" s="29"/>
      <c r="N16" s="29"/>
      <c r="O16" s="29"/>
      <c r="P16" s="29"/>
      <c r="Q16" s="29"/>
      <c r="R16" s="29"/>
      <c r="S16" s="29"/>
      <c r="T16" s="29"/>
      <c r="U16" s="25"/>
      <c r="W16" s="61"/>
      <c r="X16" s="62"/>
    </row>
    <row r="17" spans="2:24" ht="15" customHeight="1" x14ac:dyDescent="0.25">
      <c r="B17" s="64"/>
      <c r="C17" s="180" t="s">
        <v>214</v>
      </c>
      <c r="D17" s="187" t="s">
        <v>179</v>
      </c>
      <c r="E17" s="188">
        <v>2.0237999999999999E-2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0" t="s">
        <v>258</v>
      </c>
      <c r="D18" s="187" t="s">
        <v>179</v>
      </c>
      <c r="E18" s="188">
        <v>1.9893999999999998E-2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0" t="s">
        <v>275</v>
      </c>
      <c r="D19" s="187" t="s">
        <v>4</v>
      </c>
      <c r="E19" s="188">
        <v>1.6056999999999998E-2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0" t="s">
        <v>370</v>
      </c>
      <c r="D20" s="187" t="s">
        <v>83</v>
      </c>
      <c r="E20" s="188">
        <v>1.5959000000000001E-2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0" t="s">
        <v>341</v>
      </c>
      <c r="D21" s="187" t="s">
        <v>4</v>
      </c>
      <c r="E21" s="188">
        <v>1.4774000000000001E-2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0" t="s">
        <v>353</v>
      </c>
      <c r="D22" s="187" t="s">
        <v>83</v>
      </c>
      <c r="E22" s="188">
        <v>1.4571000000000001E-2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0.75991099999999978</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306" t="s">
        <v>177</v>
      </c>
      <c r="C39" s="307"/>
      <c r="D39" s="307"/>
      <c r="E39" s="307"/>
      <c r="F39" s="307"/>
      <c r="G39" s="307"/>
      <c r="H39" s="307"/>
      <c r="I39" s="307"/>
      <c r="J39" s="307"/>
      <c r="K39" s="307"/>
      <c r="L39" s="307"/>
      <c r="M39" s="307"/>
      <c r="N39" s="307"/>
      <c r="O39" s="307"/>
      <c r="P39" s="307"/>
      <c r="Q39" s="307"/>
      <c r="R39" s="308"/>
      <c r="W39" s="61"/>
      <c r="X39" s="62"/>
    </row>
    <row r="40" spans="2:24" ht="15" customHeight="1" x14ac:dyDescent="0.25">
      <c r="B40" s="309"/>
      <c r="C40" s="310"/>
      <c r="D40" s="310"/>
      <c r="E40" s="310"/>
      <c r="F40" s="310"/>
      <c r="G40" s="310"/>
      <c r="H40" s="310"/>
      <c r="I40" s="310"/>
      <c r="J40" s="310"/>
      <c r="K40" s="310"/>
      <c r="L40" s="310"/>
      <c r="M40" s="310"/>
      <c r="N40" s="310"/>
      <c r="O40" s="310"/>
      <c r="P40" s="310"/>
      <c r="Q40" s="310"/>
      <c r="R40" s="311"/>
      <c r="W40" s="61"/>
      <c r="X40" s="62"/>
    </row>
    <row r="41" spans="2:24" ht="15" customHeight="1" x14ac:dyDescent="0.25">
      <c r="B41" s="309"/>
      <c r="C41" s="310"/>
      <c r="D41" s="310"/>
      <c r="E41" s="310"/>
      <c r="F41" s="310"/>
      <c r="G41" s="310"/>
      <c r="H41" s="310"/>
      <c r="I41" s="310"/>
      <c r="J41" s="310"/>
      <c r="K41" s="310"/>
      <c r="L41" s="310"/>
      <c r="M41" s="310"/>
      <c r="N41" s="310"/>
      <c r="O41" s="310"/>
      <c r="P41" s="310"/>
      <c r="Q41" s="310"/>
      <c r="R41" s="311"/>
      <c r="W41" s="61"/>
      <c r="X41" s="62"/>
    </row>
    <row r="42" spans="2:24" ht="15" customHeight="1" x14ac:dyDescent="0.25">
      <c r="B42" s="309"/>
      <c r="C42" s="310"/>
      <c r="D42" s="310"/>
      <c r="E42" s="310"/>
      <c r="F42" s="310"/>
      <c r="G42" s="310"/>
      <c r="H42" s="310"/>
      <c r="I42" s="310"/>
      <c r="J42" s="310"/>
      <c r="K42" s="310"/>
      <c r="L42" s="310"/>
      <c r="M42" s="310"/>
      <c r="N42" s="310"/>
      <c r="O42" s="310"/>
      <c r="P42" s="310"/>
      <c r="Q42" s="310"/>
      <c r="R42" s="311"/>
      <c r="W42" s="61"/>
      <c r="X42" s="62"/>
    </row>
    <row r="43" spans="2:24" ht="15" customHeight="1" x14ac:dyDescent="0.25">
      <c r="B43" s="309"/>
      <c r="C43" s="310"/>
      <c r="D43" s="310"/>
      <c r="E43" s="310"/>
      <c r="F43" s="310"/>
      <c r="G43" s="310"/>
      <c r="H43" s="310"/>
      <c r="I43" s="310"/>
      <c r="J43" s="310"/>
      <c r="K43" s="310"/>
      <c r="L43" s="310"/>
      <c r="M43" s="310"/>
      <c r="N43" s="310"/>
      <c r="O43" s="310"/>
      <c r="P43" s="310"/>
      <c r="Q43" s="310"/>
      <c r="R43" s="311"/>
    </row>
    <row r="44" spans="2:24" ht="15" customHeight="1" x14ac:dyDescent="0.25">
      <c r="B44" s="309"/>
      <c r="C44" s="310"/>
      <c r="D44" s="310"/>
      <c r="E44" s="310"/>
      <c r="F44" s="310"/>
      <c r="G44" s="310"/>
      <c r="H44" s="310"/>
      <c r="I44" s="310"/>
      <c r="J44" s="310"/>
      <c r="K44" s="310"/>
      <c r="L44" s="310"/>
      <c r="M44" s="310"/>
      <c r="N44" s="310"/>
      <c r="O44" s="310"/>
      <c r="P44" s="310"/>
      <c r="Q44" s="310"/>
      <c r="R44" s="311"/>
    </row>
    <row r="45" spans="2:24" ht="27.75" customHeight="1" thickBot="1" x14ac:dyDescent="0.3">
      <c r="B45" s="312"/>
      <c r="C45" s="313"/>
      <c r="D45" s="313"/>
      <c r="E45" s="313"/>
      <c r="F45" s="313"/>
      <c r="G45" s="313"/>
      <c r="H45" s="313"/>
      <c r="I45" s="313"/>
      <c r="J45" s="313"/>
      <c r="K45" s="313"/>
      <c r="L45" s="313"/>
      <c r="M45" s="313"/>
      <c r="N45" s="313"/>
      <c r="O45" s="313"/>
      <c r="P45" s="313"/>
      <c r="Q45" s="313"/>
      <c r="R45" s="314"/>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sheetPr codeName="Sheet24"/>
  <dimension ref="A1:AB63"/>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5" t="s">
        <v>234</v>
      </c>
      <c r="D3" s="316"/>
      <c r="E3" s="316"/>
      <c r="F3" s="316"/>
      <c r="G3" s="316"/>
      <c r="H3" s="316"/>
      <c r="I3" s="316"/>
      <c r="J3" s="316"/>
      <c r="K3" s="316"/>
      <c r="L3" s="316"/>
      <c r="M3" s="316"/>
      <c r="N3" s="316"/>
      <c r="O3" s="316"/>
      <c r="P3" s="316"/>
      <c r="Q3" s="316"/>
      <c r="R3" s="316"/>
      <c r="S3" s="316"/>
      <c r="T3" s="22"/>
    </row>
    <row r="4" spans="1:24" ht="15.75" customHeight="1" x14ac:dyDescent="0.25">
      <c r="B4" s="79"/>
      <c r="C4" s="67" t="s">
        <v>430</v>
      </c>
      <c r="D4" s="29"/>
      <c r="E4" s="29"/>
      <c r="F4" s="29"/>
      <c r="G4" s="29"/>
      <c r="H4" s="29"/>
      <c r="I4" s="29"/>
      <c r="J4" s="29"/>
      <c r="K4" s="29"/>
      <c r="L4" s="29"/>
      <c r="M4" s="29"/>
      <c r="N4" s="29"/>
      <c r="O4" s="29"/>
      <c r="P4" s="29"/>
      <c r="Q4" s="29"/>
      <c r="R4" s="29"/>
      <c r="S4" s="29"/>
      <c r="T4" s="22"/>
    </row>
    <row r="5" spans="1:24" ht="18" customHeight="1" x14ac:dyDescent="0.25">
      <c r="B5" s="79"/>
      <c r="C5" s="211" t="s">
        <v>431</v>
      </c>
      <c r="D5" s="317" t="s">
        <v>396</v>
      </c>
      <c r="E5" s="317"/>
      <c r="F5" s="143"/>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44" t="s">
        <v>0</v>
      </c>
      <c r="D7" s="145" t="s">
        <v>1</v>
      </c>
      <c r="E7" s="144" t="s">
        <v>2</v>
      </c>
      <c r="F7" s="29"/>
      <c r="G7" s="29"/>
      <c r="H7" s="29"/>
      <c r="I7" s="29"/>
      <c r="J7" s="29"/>
      <c r="K7" s="29"/>
      <c r="L7" s="29"/>
      <c r="M7" s="29"/>
      <c r="N7" s="29"/>
      <c r="O7" s="29"/>
      <c r="P7" s="29"/>
      <c r="Q7" s="29"/>
      <c r="R7" s="29"/>
      <c r="S7" s="29"/>
      <c r="T7" s="22"/>
      <c r="W7" s="39" t="s">
        <v>22</v>
      </c>
      <c r="X7" s="39" t="s">
        <v>2</v>
      </c>
    </row>
    <row r="8" spans="1:24" ht="15" customHeight="1" x14ac:dyDescent="0.25">
      <c r="B8" s="79"/>
      <c r="C8" s="180" t="s">
        <v>367</v>
      </c>
      <c r="D8" s="187" t="s">
        <v>26</v>
      </c>
      <c r="E8" s="194">
        <v>4.1012E-2</v>
      </c>
      <c r="F8" s="29">
        <v>1</v>
      </c>
      <c r="G8" s="29"/>
      <c r="H8" s="29"/>
      <c r="I8" s="29"/>
      <c r="J8" s="29"/>
      <c r="K8" s="29"/>
      <c r="L8" s="29"/>
      <c r="M8" s="29"/>
      <c r="N8" s="29"/>
      <c r="O8" s="29"/>
      <c r="P8" s="29"/>
      <c r="Q8" s="29"/>
      <c r="R8" s="29"/>
      <c r="S8" s="29"/>
      <c r="T8" s="22"/>
      <c r="W8" s="173" t="s">
        <v>108</v>
      </c>
      <c r="X8" s="224">
        <v>0.10597000000000001</v>
      </c>
    </row>
    <row r="9" spans="1:24" ht="15.75" customHeight="1" x14ac:dyDescent="0.25">
      <c r="B9" s="79"/>
      <c r="C9" s="180" t="s">
        <v>258</v>
      </c>
      <c r="D9" s="187" t="s">
        <v>179</v>
      </c>
      <c r="E9" s="194">
        <v>3.9321000000000002E-2</v>
      </c>
      <c r="F9" s="29">
        <v>2</v>
      </c>
      <c r="G9" s="29"/>
      <c r="H9" s="29"/>
      <c r="I9" s="29"/>
      <c r="J9" s="29"/>
      <c r="K9" s="29"/>
      <c r="L9" s="29"/>
      <c r="M9" s="29"/>
      <c r="N9" s="29"/>
      <c r="O9" s="29"/>
      <c r="P9" s="29"/>
      <c r="Q9" s="29"/>
      <c r="R9" s="29"/>
      <c r="S9" s="29"/>
      <c r="T9" s="22"/>
      <c r="W9" s="173" t="s">
        <v>26</v>
      </c>
      <c r="X9" s="224">
        <v>8.5425000000000001E-2</v>
      </c>
    </row>
    <row r="10" spans="1:24" ht="15" customHeight="1" x14ac:dyDescent="0.25">
      <c r="B10" s="79"/>
      <c r="C10" s="180" t="s">
        <v>238</v>
      </c>
      <c r="D10" s="187" t="s">
        <v>108</v>
      </c>
      <c r="E10" s="194">
        <v>3.6407000000000002E-2</v>
      </c>
      <c r="F10" s="29">
        <v>3</v>
      </c>
      <c r="G10" s="29"/>
      <c r="H10" s="29"/>
      <c r="I10" s="29"/>
      <c r="J10" s="29"/>
      <c r="K10" s="29"/>
      <c r="L10" s="29"/>
      <c r="M10" s="29"/>
      <c r="N10" s="29"/>
      <c r="O10" s="29"/>
      <c r="P10" s="29"/>
      <c r="Q10" s="29"/>
      <c r="R10" s="29"/>
      <c r="S10" s="29"/>
      <c r="T10" s="22"/>
      <c r="W10" s="173" t="s">
        <v>4</v>
      </c>
      <c r="X10" s="224">
        <v>6.9767999999999997E-2</v>
      </c>
    </row>
    <row r="11" spans="1:24" ht="15" customHeight="1" x14ac:dyDescent="0.25">
      <c r="B11" s="79"/>
      <c r="C11" s="180" t="s">
        <v>239</v>
      </c>
      <c r="D11" s="187" t="s">
        <v>4</v>
      </c>
      <c r="E11" s="194">
        <v>2.9291999999999999E-2</v>
      </c>
      <c r="F11" s="29">
        <v>4</v>
      </c>
      <c r="G11" s="29"/>
      <c r="H11" s="29"/>
      <c r="I11" s="29"/>
      <c r="J11" s="29"/>
      <c r="K11" s="29"/>
      <c r="L11" s="29"/>
      <c r="M11" s="29"/>
      <c r="N11" s="29"/>
      <c r="O11" s="29"/>
      <c r="P11" s="29"/>
      <c r="Q11" s="29"/>
      <c r="R11" s="29"/>
      <c r="S11" s="29"/>
      <c r="T11" s="22"/>
      <c r="W11" s="173" t="s">
        <v>16</v>
      </c>
      <c r="X11" s="224">
        <v>5.2503999999999995E-2</v>
      </c>
    </row>
    <row r="12" spans="1:24" ht="15" customHeight="1" x14ac:dyDescent="0.25">
      <c r="B12" s="79"/>
      <c r="C12" s="180" t="s">
        <v>189</v>
      </c>
      <c r="D12" s="187" t="s">
        <v>103</v>
      </c>
      <c r="E12" s="194">
        <v>2.6827E-2</v>
      </c>
      <c r="F12" s="29">
        <v>5</v>
      </c>
      <c r="G12" s="29"/>
      <c r="H12" s="29"/>
      <c r="I12" s="29"/>
      <c r="J12" s="29"/>
      <c r="K12" s="29"/>
      <c r="L12" s="29"/>
      <c r="M12" s="29"/>
      <c r="N12" s="29"/>
      <c r="O12" s="29"/>
      <c r="P12" s="29"/>
      <c r="Q12" s="29"/>
      <c r="R12" s="29"/>
      <c r="S12" s="29"/>
      <c r="T12" s="22"/>
      <c r="W12" s="173" t="s">
        <v>104</v>
      </c>
      <c r="X12" s="224">
        <v>4.8218999999999998E-2</v>
      </c>
    </row>
    <row r="13" spans="1:24" ht="15" customHeight="1" x14ac:dyDescent="0.25">
      <c r="B13" s="79"/>
      <c r="C13" s="180" t="s">
        <v>186</v>
      </c>
      <c r="D13" s="187" t="s">
        <v>104</v>
      </c>
      <c r="E13" s="194">
        <v>2.4622999999999999E-2</v>
      </c>
      <c r="F13" s="29">
        <v>6</v>
      </c>
      <c r="G13" s="29"/>
      <c r="H13" s="29"/>
      <c r="I13" s="29"/>
      <c r="J13" s="29"/>
      <c r="K13" s="29"/>
      <c r="L13" s="29"/>
      <c r="M13" s="29"/>
      <c r="N13" s="29"/>
      <c r="O13" s="29"/>
      <c r="P13" s="29"/>
      <c r="Q13" s="29"/>
      <c r="R13" s="29"/>
      <c r="S13" s="29"/>
      <c r="T13" s="22"/>
      <c r="W13" s="173" t="s">
        <v>111</v>
      </c>
      <c r="X13" s="224">
        <v>4.6171000000000004E-2</v>
      </c>
    </row>
    <row r="14" spans="1:24" ht="15" customHeight="1" x14ac:dyDescent="0.25">
      <c r="B14" s="79"/>
      <c r="C14" s="180" t="s">
        <v>102</v>
      </c>
      <c r="D14" s="187" t="s">
        <v>4</v>
      </c>
      <c r="E14" s="194">
        <v>2.3546000000000001E-2</v>
      </c>
      <c r="F14" s="29">
        <v>7</v>
      </c>
      <c r="G14" s="29"/>
      <c r="H14" s="29"/>
      <c r="I14" s="29"/>
      <c r="J14" s="29"/>
      <c r="K14" s="29"/>
      <c r="L14" s="29"/>
      <c r="M14" s="29"/>
      <c r="N14" s="29"/>
      <c r="O14" s="29"/>
      <c r="P14" s="29"/>
      <c r="Q14" s="29"/>
      <c r="R14" s="29"/>
      <c r="S14" s="29"/>
      <c r="T14" s="22"/>
      <c r="W14" s="173" t="s">
        <v>74</v>
      </c>
      <c r="X14" s="224">
        <v>4.1113999999999998E-2</v>
      </c>
    </row>
    <row r="15" spans="1:24" ht="15" customHeight="1" x14ac:dyDescent="0.25">
      <c r="B15" s="79"/>
      <c r="C15" s="180" t="s">
        <v>276</v>
      </c>
      <c r="D15" s="187" t="s">
        <v>113</v>
      </c>
      <c r="E15" s="194">
        <v>2.1398E-2</v>
      </c>
      <c r="F15" s="29">
        <v>8</v>
      </c>
      <c r="G15" s="29"/>
      <c r="H15" s="29"/>
      <c r="I15" s="29"/>
      <c r="J15" s="29"/>
      <c r="K15" s="29"/>
      <c r="L15" s="29"/>
      <c r="M15" s="29"/>
      <c r="N15" s="29"/>
      <c r="O15" s="29"/>
      <c r="P15" s="29"/>
      <c r="Q15" s="29"/>
      <c r="R15" s="29"/>
      <c r="S15" s="29"/>
      <c r="T15" s="22"/>
      <c r="W15" s="173" t="s">
        <v>179</v>
      </c>
      <c r="X15" s="224">
        <v>3.9321000000000002E-2</v>
      </c>
    </row>
    <row r="16" spans="1:24" ht="15" customHeight="1" x14ac:dyDescent="0.25">
      <c r="B16" s="79"/>
      <c r="C16" s="180" t="s">
        <v>332</v>
      </c>
      <c r="D16" s="187" t="s">
        <v>83</v>
      </c>
      <c r="E16" s="194">
        <v>2.0331999999999999E-2</v>
      </c>
      <c r="F16" s="29">
        <v>9</v>
      </c>
      <c r="G16" s="29"/>
      <c r="H16" s="29"/>
      <c r="I16" s="29"/>
      <c r="J16" s="29"/>
      <c r="K16" s="29"/>
      <c r="L16" s="29"/>
      <c r="M16" s="29"/>
      <c r="N16" s="29"/>
      <c r="O16" s="29"/>
      <c r="P16" s="29"/>
      <c r="Q16" s="29"/>
      <c r="R16" s="29"/>
      <c r="S16" s="29"/>
      <c r="T16" s="22"/>
      <c r="W16" s="173" t="s">
        <v>103</v>
      </c>
      <c r="X16" s="224">
        <v>3.7331000000000003E-2</v>
      </c>
    </row>
    <row r="17" spans="2:24" ht="15" customHeight="1" x14ac:dyDescent="0.25">
      <c r="B17" s="79"/>
      <c r="C17" s="180" t="s">
        <v>342</v>
      </c>
      <c r="D17" s="187" t="s">
        <v>121</v>
      </c>
      <c r="E17" s="194">
        <v>2.0310999999999999E-2</v>
      </c>
      <c r="F17" s="29">
        <v>10</v>
      </c>
      <c r="G17" s="29"/>
      <c r="H17" s="29"/>
      <c r="I17" s="29"/>
      <c r="J17" s="29"/>
      <c r="K17" s="29"/>
      <c r="L17" s="29"/>
      <c r="M17" s="29"/>
      <c r="N17" s="29"/>
      <c r="O17" s="29"/>
      <c r="P17" s="29"/>
      <c r="Q17" s="29"/>
      <c r="R17" s="29"/>
      <c r="S17" s="29"/>
      <c r="T17" s="22"/>
      <c r="W17" s="173" t="s">
        <v>3</v>
      </c>
      <c r="X17" s="224">
        <v>3.7116999999999997E-2</v>
      </c>
    </row>
    <row r="18" spans="2:24" ht="15" customHeight="1" x14ac:dyDescent="0.25">
      <c r="B18" s="79"/>
      <c r="C18" s="180" t="s">
        <v>371</v>
      </c>
      <c r="D18" s="187" t="s">
        <v>26</v>
      </c>
      <c r="E18" s="194">
        <v>2.0251999999999999E-2</v>
      </c>
      <c r="F18" s="29">
        <v>11</v>
      </c>
      <c r="G18" s="29"/>
      <c r="H18" s="29"/>
      <c r="I18" s="29"/>
      <c r="J18" s="29"/>
      <c r="K18" s="29"/>
      <c r="L18" s="29"/>
      <c r="M18" s="29"/>
      <c r="N18" s="29"/>
      <c r="O18" s="29"/>
      <c r="P18" s="29"/>
      <c r="Q18" s="29"/>
      <c r="R18" s="29"/>
      <c r="S18" s="29"/>
      <c r="T18" s="22"/>
      <c r="W18" s="173" t="s">
        <v>109</v>
      </c>
      <c r="X18" s="224">
        <v>3.6961000000000001E-2</v>
      </c>
    </row>
    <row r="19" spans="2:24" ht="15" customHeight="1" x14ac:dyDescent="0.25">
      <c r="B19" s="79"/>
      <c r="C19" s="180" t="s">
        <v>70</v>
      </c>
      <c r="D19" s="187" t="s">
        <v>12</v>
      </c>
      <c r="E19" s="194">
        <v>1.9968E-2</v>
      </c>
      <c r="F19" s="29">
        <v>12</v>
      </c>
      <c r="G19" s="29"/>
      <c r="H19" s="29"/>
      <c r="I19" s="29"/>
      <c r="J19" s="29"/>
      <c r="K19" s="29"/>
      <c r="L19" s="29"/>
      <c r="M19" s="29"/>
      <c r="N19" s="29"/>
      <c r="O19" s="29"/>
      <c r="P19" s="29"/>
      <c r="Q19" s="29"/>
      <c r="R19" s="29"/>
      <c r="S19" s="29"/>
      <c r="T19" s="22"/>
      <c r="W19" s="173" t="s">
        <v>121</v>
      </c>
      <c r="X19" s="224">
        <v>3.5026000000000002E-2</v>
      </c>
    </row>
    <row r="20" spans="2:24" ht="15" customHeight="1" x14ac:dyDescent="0.25">
      <c r="B20" s="79"/>
      <c r="C20" s="180" t="s">
        <v>316</v>
      </c>
      <c r="D20" s="187" t="s">
        <v>16</v>
      </c>
      <c r="E20" s="194">
        <v>1.9153E-2</v>
      </c>
      <c r="F20" s="29">
        <v>13</v>
      </c>
      <c r="G20" s="29"/>
      <c r="H20" s="29"/>
      <c r="I20" s="29"/>
      <c r="J20" s="29"/>
      <c r="K20" s="29"/>
      <c r="L20" s="29"/>
      <c r="M20" s="29"/>
      <c r="N20" s="29"/>
      <c r="O20" s="29"/>
      <c r="P20" s="29"/>
      <c r="Q20" s="29"/>
      <c r="R20" s="29"/>
      <c r="S20" s="29"/>
      <c r="T20" s="22"/>
      <c r="W20" s="173" t="s">
        <v>110</v>
      </c>
      <c r="X20" s="224">
        <v>3.2969999999999999E-2</v>
      </c>
    </row>
    <row r="21" spans="2:24" ht="15" customHeight="1" x14ac:dyDescent="0.25">
      <c r="B21" s="79"/>
      <c r="C21" s="180" t="s">
        <v>32</v>
      </c>
      <c r="D21" s="187" t="s">
        <v>3</v>
      </c>
      <c r="E21" s="194">
        <v>1.8936000000000001E-2</v>
      </c>
      <c r="F21" s="29">
        <v>14</v>
      </c>
      <c r="G21" s="29"/>
      <c r="H21" s="29"/>
      <c r="I21" s="29"/>
      <c r="J21" s="29"/>
      <c r="K21" s="29"/>
      <c r="L21" s="29"/>
      <c r="M21" s="29"/>
      <c r="N21" s="29"/>
      <c r="O21" s="29"/>
      <c r="P21" s="29"/>
      <c r="Q21" s="29"/>
      <c r="R21" s="29"/>
      <c r="S21" s="29"/>
      <c r="T21" s="22"/>
      <c r="W21" s="173" t="s">
        <v>12</v>
      </c>
      <c r="X21" s="224">
        <v>2.9214999999999998E-2</v>
      </c>
    </row>
    <row r="22" spans="2:24" ht="15" customHeight="1" x14ac:dyDescent="0.25">
      <c r="B22" s="79"/>
      <c r="C22" s="180" t="s">
        <v>117</v>
      </c>
      <c r="D22" s="187" t="s">
        <v>109</v>
      </c>
      <c r="E22" s="194">
        <v>1.8690999999999999E-2</v>
      </c>
      <c r="F22" s="29">
        <v>15</v>
      </c>
      <c r="G22" s="29"/>
      <c r="H22" s="29"/>
      <c r="I22" s="29"/>
      <c r="J22" s="29"/>
      <c r="K22" s="29"/>
      <c r="L22" s="29"/>
      <c r="M22" s="29"/>
      <c r="N22" s="29"/>
      <c r="O22" s="29"/>
      <c r="P22" s="29"/>
      <c r="Q22" s="29"/>
      <c r="R22" s="29"/>
      <c r="S22" s="29"/>
      <c r="T22" s="22"/>
      <c r="W22" s="173" t="s">
        <v>116</v>
      </c>
      <c r="X22" s="224">
        <v>2.6737999999999998E-2</v>
      </c>
    </row>
    <row r="23" spans="2:24" ht="15" customHeight="1" x14ac:dyDescent="0.25">
      <c r="B23" s="79"/>
      <c r="C23" s="71"/>
      <c r="D23" s="71"/>
      <c r="E23" s="146"/>
      <c r="F23" s="29"/>
      <c r="G23" s="29"/>
      <c r="H23" s="29"/>
      <c r="I23" s="29"/>
      <c r="J23" s="29"/>
      <c r="K23" s="29"/>
      <c r="L23" s="29"/>
      <c r="M23" s="29"/>
      <c r="N23" s="29"/>
      <c r="O23" s="29"/>
      <c r="P23" s="29"/>
      <c r="Q23" s="29"/>
      <c r="R23" s="29"/>
      <c r="S23" s="29"/>
      <c r="T23" s="22"/>
      <c r="W23" s="173" t="s">
        <v>82</v>
      </c>
      <c r="X23" s="224">
        <v>2.6064999999999998E-2</v>
      </c>
    </row>
    <row r="24" spans="2:24" ht="15" customHeight="1" x14ac:dyDescent="0.25">
      <c r="B24" s="79"/>
      <c r="C24" s="73" t="s">
        <v>55</v>
      </c>
      <c r="D24" s="74"/>
      <c r="E24" s="75">
        <f>SUM(E8:E22)</f>
        <v>0.38006899999999999</v>
      </c>
      <c r="F24" s="29"/>
      <c r="G24" s="29"/>
      <c r="H24" s="29"/>
      <c r="I24" s="29"/>
      <c r="J24" s="29"/>
      <c r="K24" s="29"/>
      <c r="L24" s="29"/>
      <c r="M24" s="29"/>
      <c r="N24" s="29"/>
      <c r="O24" s="29"/>
      <c r="P24" s="29"/>
      <c r="Q24" s="29"/>
      <c r="R24" s="29"/>
      <c r="S24" s="29"/>
      <c r="T24" s="22"/>
      <c r="W24" s="173" t="s">
        <v>83</v>
      </c>
      <c r="X24" s="224">
        <v>2.5197000000000001E-2</v>
      </c>
    </row>
    <row r="25" spans="2:24" ht="15" customHeight="1" x14ac:dyDescent="0.25">
      <c r="B25" s="79"/>
      <c r="F25" s="29"/>
      <c r="G25" s="29"/>
      <c r="H25" s="29"/>
      <c r="I25" s="29"/>
      <c r="J25" s="29"/>
      <c r="K25" s="29"/>
      <c r="L25" s="29"/>
      <c r="M25" s="29"/>
      <c r="N25" s="29"/>
      <c r="O25" s="29"/>
      <c r="P25" s="29"/>
      <c r="Q25" s="29"/>
      <c r="R25" s="29"/>
      <c r="S25" s="29"/>
      <c r="T25" s="22"/>
      <c r="W25" s="173" t="s">
        <v>113</v>
      </c>
      <c r="X25" s="224">
        <v>2.1398E-2</v>
      </c>
    </row>
    <row r="26" spans="2:24" ht="15" customHeight="1" x14ac:dyDescent="0.25">
      <c r="B26" s="79"/>
      <c r="F26" s="29"/>
      <c r="G26" s="29"/>
      <c r="H26" s="29"/>
      <c r="I26" s="29"/>
      <c r="J26" s="29"/>
      <c r="K26" s="29"/>
      <c r="L26" s="29"/>
      <c r="M26" s="29"/>
      <c r="N26" s="29"/>
      <c r="O26" s="29"/>
      <c r="P26" s="29"/>
      <c r="Q26" s="29"/>
      <c r="R26" s="29"/>
      <c r="S26" s="29"/>
      <c r="T26" s="22"/>
      <c r="W26" s="173" t="s">
        <v>107</v>
      </c>
      <c r="X26" s="224">
        <v>2.0541E-2</v>
      </c>
    </row>
    <row r="27" spans="2:24" ht="15" customHeight="1" x14ac:dyDescent="0.25">
      <c r="B27" s="79"/>
      <c r="F27" s="29"/>
      <c r="G27" s="29"/>
      <c r="H27" s="29"/>
      <c r="I27" s="29"/>
      <c r="J27" s="29"/>
      <c r="K27" s="29"/>
      <c r="L27" s="29"/>
      <c r="M27" s="29"/>
      <c r="N27" s="29"/>
      <c r="O27" s="29"/>
      <c r="P27" s="29"/>
      <c r="Q27" s="29"/>
      <c r="R27" s="29"/>
      <c r="S27" s="29"/>
      <c r="T27" s="22"/>
      <c r="W27" s="173" t="s">
        <v>134</v>
      </c>
      <c r="X27" s="224">
        <v>1.8673000000000002E-2</v>
      </c>
    </row>
    <row r="28" spans="2:24" ht="15" customHeight="1" x14ac:dyDescent="0.25">
      <c r="B28" s="79"/>
      <c r="F28" s="29"/>
      <c r="G28" s="29"/>
      <c r="H28" s="29"/>
      <c r="I28" s="29"/>
      <c r="J28" s="29"/>
      <c r="K28" s="29"/>
      <c r="L28" s="29"/>
      <c r="M28" s="29"/>
      <c r="N28" s="29"/>
      <c r="O28" s="29"/>
      <c r="P28" s="29"/>
      <c r="Q28" s="29"/>
      <c r="R28" s="29"/>
      <c r="S28" s="29"/>
      <c r="T28" s="22"/>
      <c r="W28" s="173" t="s">
        <v>6</v>
      </c>
      <c r="X28" s="224">
        <v>1.8016000000000001E-2</v>
      </c>
    </row>
    <row r="29" spans="2:24" ht="15" customHeight="1" x14ac:dyDescent="0.25">
      <c r="B29" s="79"/>
      <c r="F29" s="29"/>
      <c r="G29" s="29"/>
      <c r="H29" s="29"/>
      <c r="I29" s="29"/>
      <c r="J29" s="29"/>
      <c r="K29" s="29"/>
      <c r="L29" s="29"/>
      <c r="M29" s="29"/>
      <c r="N29" s="29"/>
      <c r="O29" s="29"/>
      <c r="P29" s="29"/>
      <c r="Q29" s="29"/>
      <c r="R29" s="29"/>
      <c r="S29" s="29"/>
      <c r="T29" s="22"/>
      <c r="W29" s="173" t="s">
        <v>80</v>
      </c>
      <c r="X29" s="224">
        <v>1.7004999999999999E-2</v>
      </c>
    </row>
    <row r="30" spans="2:24" ht="15" customHeight="1" x14ac:dyDescent="0.25">
      <c r="B30" s="79"/>
      <c r="F30" s="29"/>
      <c r="G30" s="29"/>
      <c r="H30" s="29"/>
      <c r="I30" s="29"/>
      <c r="J30" s="29"/>
      <c r="K30" s="29"/>
      <c r="L30" s="29"/>
      <c r="M30" s="29"/>
      <c r="N30" s="29"/>
      <c r="O30" s="29"/>
      <c r="P30" s="29"/>
      <c r="Q30" s="29"/>
      <c r="R30" s="29"/>
      <c r="S30" s="29"/>
      <c r="T30" s="22"/>
      <c r="W30" s="173" t="s">
        <v>10</v>
      </c>
      <c r="X30" s="224">
        <v>1.6301E-2</v>
      </c>
    </row>
    <row r="31" spans="2:24" ht="15" customHeight="1" x14ac:dyDescent="0.25">
      <c r="B31" s="79"/>
      <c r="F31" s="29"/>
      <c r="G31" s="29"/>
      <c r="H31" s="29"/>
      <c r="I31" s="29"/>
      <c r="J31" s="29"/>
      <c r="K31" s="29"/>
      <c r="L31" s="29"/>
      <c r="M31" s="29"/>
      <c r="N31" s="29"/>
      <c r="O31" s="29"/>
      <c r="P31" s="29"/>
      <c r="Q31" s="29"/>
      <c r="R31" s="29"/>
      <c r="S31" s="29"/>
      <c r="T31" s="22"/>
      <c r="W31" s="173" t="s">
        <v>81</v>
      </c>
      <c r="X31" s="224">
        <v>1.3860000000000001E-2</v>
      </c>
    </row>
    <row r="32" spans="2:24" ht="15.75" customHeight="1" x14ac:dyDescent="0.25">
      <c r="B32" s="79"/>
      <c r="F32" s="29"/>
      <c r="G32" s="29"/>
      <c r="H32" s="29"/>
      <c r="I32" s="29"/>
      <c r="J32" s="29"/>
      <c r="K32" s="29"/>
      <c r="L32" s="29"/>
      <c r="M32" s="29"/>
      <c r="N32" s="29"/>
      <c r="O32" s="29"/>
      <c r="P32" s="29"/>
      <c r="Q32" s="29"/>
      <c r="R32" s="29"/>
      <c r="S32" s="29"/>
      <c r="T32" s="22"/>
      <c r="W32" s="173" t="s">
        <v>24</v>
      </c>
      <c r="X32" s="224">
        <v>1.2629E-2</v>
      </c>
    </row>
    <row r="33" spans="2:24" ht="15" customHeight="1" x14ac:dyDescent="0.25">
      <c r="B33" s="79"/>
      <c r="F33" s="29"/>
      <c r="G33" s="29"/>
      <c r="H33" s="29"/>
      <c r="I33" s="29"/>
      <c r="J33" s="29"/>
      <c r="K33" s="29"/>
      <c r="L33" s="29"/>
      <c r="M33" s="29"/>
      <c r="N33" s="29"/>
      <c r="O33" s="29"/>
      <c r="P33" s="29"/>
      <c r="Q33" s="29"/>
      <c r="R33" s="29"/>
      <c r="S33" s="29"/>
      <c r="T33" s="22"/>
      <c r="W33" s="173" t="s">
        <v>123</v>
      </c>
      <c r="X33" s="224">
        <v>1.0034E-2</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73" t="s">
        <v>23</v>
      </c>
      <c r="X34" s="224">
        <v>9.2530000000000008E-3</v>
      </c>
    </row>
    <row r="35" spans="2:24" ht="15" customHeight="1" thickBot="1" x14ac:dyDescent="0.3">
      <c r="W35" s="173" t="s">
        <v>92</v>
      </c>
      <c r="X35" s="224">
        <v>9.0659999999999994E-3</v>
      </c>
    </row>
    <row r="36" spans="2:24" ht="15" customHeight="1" x14ac:dyDescent="0.25">
      <c r="B36" s="306" t="s">
        <v>177</v>
      </c>
      <c r="C36" s="307"/>
      <c r="D36" s="307"/>
      <c r="E36" s="307"/>
      <c r="F36" s="307"/>
      <c r="G36" s="307"/>
      <c r="H36" s="307"/>
      <c r="I36" s="307"/>
      <c r="J36" s="307"/>
      <c r="K36" s="307"/>
      <c r="L36" s="307"/>
      <c r="M36" s="307"/>
      <c r="N36" s="307"/>
      <c r="O36" s="307"/>
      <c r="P36" s="307"/>
      <c r="Q36" s="307"/>
      <c r="R36" s="308"/>
      <c r="W36" s="173" t="s">
        <v>130</v>
      </c>
      <c r="X36" s="224">
        <v>7.7089999999999997E-3</v>
      </c>
    </row>
    <row r="37" spans="2:24" ht="15" customHeight="1" x14ac:dyDescent="0.25">
      <c r="B37" s="309"/>
      <c r="C37" s="310"/>
      <c r="D37" s="310"/>
      <c r="E37" s="310"/>
      <c r="F37" s="310"/>
      <c r="G37" s="310"/>
      <c r="H37" s="310"/>
      <c r="I37" s="310"/>
      <c r="J37" s="310"/>
      <c r="K37" s="310"/>
      <c r="L37" s="310"/>
      <c r="M37" s="310"/>
      <c r="N37" s="310"/>
      <c r="O37" s="310"/>
      <c r="P37" s="310"/>
      <c r="Q37" s="310"/>
      <c r="R37" s="311"/>
      <c r="W37" s="173" t="s">
        <v>120</v>
      </c>
      <c r="X37" s="224">
        <v>7.6889999999999997E-3</v>
      </c>
    </row>
    <row r="38" spans="2:24" ht="15" customHeight="1" x14ac:dyDescent="0.25">
      <c r="B38" s="309"/>
      <c r="C38" s="310"/>
      <c r="D38" s="310"/>
      <c r="E38" s="310"/>
      <c r="F38" s="310"/>
      <c r="G38" s="310"/>
      <c r="H38" s="310"/>
      <c r="I38" s="310"/>
      <c r="J38" s="310"/>
      <c r="K38" s="310"/>
      <c r="L38" s="310"/>
      <c r="M38" s="310"/>
      <c r="N38" s="310"/>
      <c r="O38" s="310"/>
      <c r="P38" s="310"/>
      <c r="Q38" s="310"/>
      <c r="R38" s="311"/>
      <c r="W38" s="173" t="s">
        <v>317</v>
      </c>
      <c r="X38" s="224">
        <v>7.0530000000000002E-3</v>
      </c>
    </row>
    <row r="39" spans="2:24" ht="15" customHeight="1" x14ac:dyDescent="0.25">
      <c r="B39" s="309"/>
      <c r="C39" s="310"/>
      <c r="D39" s="310"/>
      <c r="E39" s="310"/>
      <c r="F39" s="310"/>
      <c r="G39" s="310"/>
      <c r="H39" s="310"/>
      <c r="I39" s="310"/>
      <c r="J39" s="310"/>
      <c r="K39" s="310"/>
      <c r="L39" s="310"/>
      <c r="M39" s="310"/>
      <c r="N39" s="310"/>
      <c r="O39" s="310"/>
      <c r="P39" s="310"/>
      <c r="Q39" s="310"/>
      <c r="R39" s="311"/>
      <c r="W39" s="173" t="s">
        <v>118</v>
      </c>
      <c r="X39" s="224">
        <v>7.0020000000000004E-3</v>
      </c>
    </row>
    <row r="40" spans="2:24" ht="15" customHeight="1" x14ac:dyDescent="0.25">
      <c r="B40" s="309"/>
      <c r="C40" s="310"/>
      <c r="D40" s="310"/>
      <c r="E40" s="310"/>
      <c r="F40" s="310"/>
      <c r="G40" s="310"/>
      <c r="H40" s="310"/>
      <c r="I40" s="310"/>
      <c r="J40" s="310"/>
      <c r="K40" s="310"/>
      <c r="L40" s="310"/>
      <c r="M40" s="310"/>
      <c r="N40" s="310"/>
      <c r="O40" s="310"/>
      <c r="P40" s="310"/>
      <c r="Q40" s="310"/>
      <c r="R40" s="311"/>
      <c r="W40" s="173" t="s">
        <v>84</v>
      </c>
      <c r="X40" s="224">
        <v>6.8760000000000002E-3</v>
      </c>
    </row>
    <row r="41" spans="2:24" ht="15" customHeight="1" x14ac:dyDescent="0.25">
      <c r="B41" s="309"/>
      <c r="C41" s="310"/>
      <c r="D41" s="310"/>
      <c r="E41" s="310"/>
      <c r="F41" s="310"/>
      <c r="G41" s="310"/>
      <c r="H41" s="310"/>
      <c r="I41" s="310"/>
      <c r="J41" s="310"/>
      <c r="K41" s="310"/>
      <c r="L41" s="310"/>
      <c r="M41" s="310"/>
      <c r="N41" s="310"/>
      <c r="O41" s="310"/>
      <c r="P41" s="310"/>
      <c r="Q41" s="310"/>
      <c r="R41" s="311"/>
      <c r="W41" s="173" t="s">
        <v>224</v>
      </c>
      <c r="X41" s="224">
        <v>5.8589999999999996E-3</v>
      </c>
    </row>
    <row r="42" spans="2:24" ht="15" customHeight="1" thickBot="1" x14ac:dyDescent="0.3">
      <c r="B42" s="312"/>
      <c r="C42" s="313"/>
      <c r="D42" s="313"/>
      <c r="E42" s="313"/>
      <c r="F42" s="313"/>
      <c r="G42" s="313"/>
      <c r="H42" s="313"/>
      <c r="I42" s="313"/>
      <c r="J42" s="313"/>
      <c r="K42" s="313"/>
      <c r="L42" s="313"/>
      <c r="M42" s="313"/>
      <c r="N42" s="313"/>
      <c r="O42" s="313"/>
      <c r="P42" s="313"/>
      <c r="Q42" s="313"/>
      <c r="R42" s="314"/>
      <c r="W42" s="39" t="s">
        <v>369</v>
      </c>
      <c r="X42" s="224">
        <v>5.2909999999999997E-3</v>
      </c>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41">
    <sortCondition descending="1" ref="X41"/>
  </sortState>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184E-7FBB-441F-A5D7-C420096958FA}">
  <sheetPr codeName="Sheet38"/>
  <dimension ref="A1:AB63"/>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5" t="s">
        <v>288</v>
      </c>
      <c r="D3" s="316"/>
      <c r="E3" s="316"/>
      <c r="F3" s="316"/>
      <c r="G3" s="316"/>
      <c r="H3" s="316"/>
      <c r="I3" s="316"/>
      <c r="J3" s="316"/>
      <c r="K3" s="316"/>
      <c r="L3" s="316"/>
      <c r="M3" s="316"/>
      <c r="N3" s="316"/>
      <c r="O3" s="316"/>
      <c r="P3" s="316"/>
      <c r="Q3" s="316"/>
      <c r="R3" s="316"/>
      <c r="S3" s="316"/>
      <c r="T3" s="22"/>
    </row>
    <row r="4" spans="1:24" ht="15.75" customHeight="1" x14ac:dyDescent="0.25">
      <c r="B4" s="79"/>
      <c r="C4" s="67" t="s">
        <v>430</v>
      </c>
      <c r="D4" s="29"/>
      <c r="E4" s="29"/>
      <c r="F4" s="29"/>
      <c r="G4" s="29"/>
      <c r="H4" s="29"/>
      <c r="I4" s="29"/>
      <c r="J4" s="29"/>
      <c r="K4" s="29"/>
      <c r="L4" s="29"/>
      <c r="M4" s="29"/>
      <c r="N4" s="29"/>
      <c r="O4" s="29"/>
      <c r="P4" s="29"/>
      <c r="Q4" s="29"/>
      <c r="R4" s="29"/>
      <c r="S4" s="29"/>
      <c r="T4" s="22"/>
    </row>
    <row r="5" spans="1:24" ht="18" customHeight="1" x14ac:dyDescent="0.25">
      <c r="B5" s="79"/>
      <c r="C5" s="211" t="s">
        <v>431</v>
      </c>
      <c r="D5" s="317" t="s">
        <v>397</v>
      </c>
      <c r="E5" s="317"/>
      <c r="F5" s="143"/>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44" t="s">
        <v>0</v>
      </c>
      <c r="D7" s="145" t="s">
        <v>1</v>
      </c>
      <c r="E7" s="144" t="s">
        <v>2</v>
      </c>
      <c r="F7" s="29"/>
      <c r="G7" s="29"/>
      <c r="H7" s="29"/>
      <c r="I7" s="29"/>
      <c r="J7" s="29"/>
      <c r="K7" s="29"/>
      <c r="L7" s="29"/>
      <c r="M7" s="29"/>
      <c r="N7" s="29"/>
      <c r="O7" s="29"/>
      <c r="P7" s="29"/>
      <c r="Q7" s="29"/>
      <c r="R7" s="29"/>
      <c r="S7" s="29"/>
      <c r="T7" s="22"/>
      <c r="W7" s="39" t="s">
        <v>22</v>
      </c>
      <c r="X7" s="39" t="s">
        <v>2</v>
      </c>
    </row>
    <row r="8" spans="1:24" ht="15" customHeight="1" x14ac:dyDescent="0.25">
      <c r="B8" s="79"/>
      <c r="C8" s="180" t="s">
        <v>29</v>
      </c>
      <c r="D8" s="187" t="s">
        <v>3</v>
      </c>
      <c r="E8" s="194">
        <v>5.2475000000000001E-2</v>
      </c>
      <c r="F8" s="29">
        <v>1</v>
      </c>
      <c r="G8" s="29"/>
      <c r="H8" s="29"/>
      <c r="I8" s="29"/>
      <c r="J8" s="29"/>
      <c r="K8" s="29"/>
      <c r="L8" s="29"/>
      <c r="M8" s="29"/>
      <c r="N8" s="29"/>
      <c r="O8" s="29"/>
      <c r="P8" s="29"/>
      <c r="Q8" s="29"/>
      <c r="R8" s="29"/>
      <c r="S8" s="29"/>
      <c r="T8" s="22"/>
      <c r="W8" s="221" t="s">
        <v>3</v>
      </c>
      <c r="X8" s="224">
        <v>0.183308</v>
      </c>
    </row>
    <row r="9" spans="1:24" ht="15.75" customHeight="1" x14ac:dyDescent="0.25">
      <c r="B9" s="79"/>
      <c r="C9" s="180" t="s">
        <v>36</v>
      </c>
      <c r="D9" s="187" t="s">
        <v>3</v>
      </c>
      <c r="E9" s="194">
        <v>4.3018000000000001E-2</v>
      </c>
      <c r="F9" s="29">
        <v>2</v>
      </c>
      <c r="G9" s="29"/>
      <c r="H9" s="29"/>
      <c r="I9" s="29"/>
      <c r="J9" s="29"/>
      <c r="K9" s="29"/>
      <c r="L9" s="29"/>
      <c r="M9" s="29"/>
      <c r="N9" s="29"/>
      <c r="O9" s="29"/>
      <c r="P9" s="29"/>
      <c r="Q9" s="29"/>
      <c r="R9" s="29"/>
      <c r="S9" s="29"/>
      <c r="T9" s="22"/>
      <c r="W9" s="221" t="s">
        <v>4</v>
      </c>
      <c r="X9" s="224">
        <v>9.6597999999999989E-2</v>
      </c>
    </row>
    <row r="10" spans="1:24" ht="15" customHeight="1" x14ac:dyDescent="0.25">
      <c r="B10" s="79"/>
      <c r="C10" s="180" t="s">
        <v>28</v>
      </c>
      <c r="D10" s="187" t="s">
        <v>104</v>
      </c>
      <c r="E10" s="194">
        <v>3.0979E-2</v>
      </c>
      <c r="F10" s="29">
        <v>3</v>
      </c>
      <c r="G10" s="29"/>
      <c r="H10" s="29"/>
      <c r="I10" s="29"/>
      <c r="J10" s="29"/>
      <c r="K10" s="29"/>
      <c r="L10" s="29"/>
      <c r="M10" s="29"/>
      <c r="N10" s="29"/>
      <c r="O10" s="29"/>
      <c r="P10" s="29"/>
      <c r="Q10" s="29"/>
      <c r="R10" s="29"/>
      <c r="S10" s="29"/>
      <c r="T10" s="22"/>
      <c r="W10" s="221" t="s">
        <v>104</v>
      </c>
      <c r="X10" s="224">
        <v>7.9204999999999998E-2</v>
      </c>
    </row>
    <row r="11" spans="1:24" ht="15" customHeight="1" x14ac:dyDescent="0.25">
      <c r="B11" s="79"/>
      <c r="C11" s="180" t="s">
        <v>78</v>
      </c>
      <c r="D11" s="187" t="s">
        <v>4</v>
      </c>
      <c r="E11" s="194">
        <v>2.7414000000000001E-2</v>
      </c>
      <c r="F11" s="29">
        <v>4</v>
      </c>
      <c r="G11" s="29"/>
      <c r="H11" s="29"/>
      <c r="I11" s="29"/>
      <c r="J11" s="29"/>
      <c r="K11" s="29"/>
      <c r="L11" s="29"/>
      <c r="M11" s="29"/>
      <c r="N11" s="29"/>
      <c r="O11" s="29"/>
      <c r="P11" s="29"/>
      <c r="Q11" s="29"/>
      <c r="R11" s="29"/>
      <c r="S11" s="29"/>
      <c r="T11" s="22"/>
      <c r="W11" s="221" t="s">
        <v>108</v>
      </c>
      <c r="X11" s="224">
        <v>6.9142999999999996E-2</v>
      </c>
    </row>
    <row r="12" spans="1:24" ht="15" customHeight="1" x14ac:dyDescent="0.25">
      <c r="B12" s="79"/>
      <c r="C12" s="180" t="s">
        <v>297</v>
      </c>
      <c r="D12" s="187" t="s">
        <v>107</v>
      </c>
      <c r="E12" s="194">
        <v>2.3362999999999998E-2</v>
      </c>
      <c r="F12" s="29">
        <v>5</v>
      </c>
      <c r="G12" s="29"/>
      <c r="H12" s="29"/>
      <c r="I12" s="29"/>
      <c r="J12" s="29"/>
      <c r="K12" s="29"/>
      <c r="L12" s="29"/>
      <c r="M12" s="29"/>
      <c r="N12" s="29"/>
      <c r="O12" s="29"/>
      <c r="P12" s="29"/>
      <c r="Q12" s="29"/>
      <c r="R12" s="29"/>
      <c r="S12" s="29"/>
      <c r="T12" s="22"/>
      <c r="W12" s="221" t="s">
        <v>23</v>
      </c>
      <c r="X12" s="224">
        <v>6.0670999999999996E-2</v>
      </c>
    </row>
    <row r="13" spans="1:24" ht="15" customHeight="1" x14ac:dyDescent="0.25">
      <c r="B13" s="79"/>
      <c r="C13" s="180" t="s">
        <v>307</v>
      </c>
      <c r="D13" s="187" t="s">
        <v>115</v>
      </c>
      <c r="E13" s="194">
        <v>2.1939999999999998E-2</v>
      </c>
      <c r="F13" s="29">
        <v>6</v>
      </c>
      <c r="G13" s="29"/>
      <c r="H13" s="29"/>
      <c r="I13" s="29"/>
      <c r="J13" s="29"/>
      <c r="K13" s="29"/>
      <c r="L13" s="29"/>
      <c r="M13" s="29"/>
      <c r="N13" s="29"/>
      <c r="O13" s="29"/>
      <c r="P13" s="29"/>
      <c r="Q13" s="29"/>
      <c r="R13" s="29"/>
      <c r="S13" s="29"/>
      <c r="T13" s="22"/>
      <c r="W13" s="221" t="s">
        <v>10</v>
      </c>
      <c r="X13" s="224">
        <v>5.8267999999999993E-2</v>
      </c>
    </row>
    <row r="14" spans="1:24" ht="15" customHeight="1" x14ac:dyDescent="0.25">
      <c r="B14" s="79"/>
      <c r="C14" s="180" t="s">
        <v>62</v>
      </c>
      <c r="D14" s="187" t="s">
        <v>10</v>
      </c>
      <c r="E14" s="194">
        <v>2.1869E-2</v>
      </c>
      <c r="F14" s="29">
        <v>7</v>
      </c>
      <c r="G14" s="29"/>
      <c r="H14" s="29"/>
      <c r="I14" s="29"/>
      <c r="J14" s="29"/>
      <c r="K14" s="29"/>
      <c r="L14" s="29"/>
      <c r="M14" s="29"/>
      <c r="N14" s="29"/>
      <c r="O14" s="29"/>
      <c r="P14" s="29"/>
      <c r="Q14" s="29"/>
      <c r="R14" s="29"/>
      <c r="S14" s="29"/>
      <c r="T14" s="22"/>
      <c r="W14" s="221" t="s">
        <v>115</v>
      </c>
      <c r="X14" s="224">
        <v>3.6618999999999999E-2</v>
      </c>
    </row>
    <row r="15" spans="1:24" ht="15" customHeight="1" x14ac:dyDescent="0.25">
      <c r="B15" s="79"/>
      <c r="C15" s="180" t="s">
        <v>310</v>
      </c>
      <c r="D15" s="187" t="s">
        <v>108</v>
      </c>
      <c r="E15" s="194">
        <v>2.1062999999999998E-2</v>
      </c>
      <c r="F15" s="29">
        <v>8</v>
      </c>
      <c r="G15" s="29"/>
      <c r="H15" s="29"/>
      <c r="I15" s="29"/>
      <c r="J15" s="29"/>
      <c r="K15" s="29"/>
      <c r="L15" s="29"/>
      <c r="M15" s="29"/>
      <c r="N15" s="29"/>
      <c r="O15" s="29"/>
      <c r="P15" s="29"/>
      <c r="Q15" s="29"/>
      <c r="R15" s="29"/>
      <c r="S15" s="29"/>
      <c r="T15" s="22"/>
      <c r="W15" s="221" t="s">
        <v>26</v>
      </c>
      <c r="X15" s="224">
        <v>2.9881000000000001E-2</v>
      </c>
    </row>
    <row r="16" spans="1:24" ht="15" customHeight="1" x14ac:dyDescent="0.25">
      <c r="B16" s="79"/>
      <c r="C16" s="180" t="s">
        <v>70</v>
      </c>
      <c r="D16" s="187" t="s">
        <v>12</v>
      </c>
      <c r="E16" s="194">
        <v>2.0329E-2</v>
      </c>
      <c r="F16" s="29">
        <v>9</v>
      </c>
      <c r="G16" s="29"/>
      <c r="H16" s="29"/>
      <c r="I16" s="29"/>
      <c r="J16" s="29"/>
      <c r="K16" s="29"/>
      <c r="L16" s="29"/>
      <c r="M16" s="29"/>
      <c r="N16" s="29"/>
      <c r="O16" s="29"/>
      <c r="P16" s="29"/>
      <c r="Q16" s="29"/>
      <c r="R16" s="29"/>
      <c r="S16" s="29"/>
      <c r="T16" s="22"/>
      <c r="W16" s="221" t="s">
        <v>109</v>
      </c>
      <c r="X16" s="224">
        <v>2.5454999999999998E-2</v>
      </c>
    </row>
    <row r="17" spans="2:24" ht="15" customHeight="1" x14ac:dyDescent="0.25">
      <c r="B17" s="79"/>
      <c r="C17" s="180" t="s">
        <v>33</v>
      </c>
      <c r="D17" s="187" t="s">
        <v>104</v>
      </c>
      <c r="E17" s="194">
        <v>1.9961E-2</v>
      </c>
      <c r="F17" s="29">
        <v>10</v>
      </c>
      <c r="G17" s="29"/>
      <c r="H17" s="29"/>
      <c r="I17" s="29"/>
      <c r="J17" s="29"/>
      <c r="K17" s="29"/>
      <c r="L17" s="29"/>
      <c r="M17" s="29"/>
      <c r="N17" s="29"/>
      <c r="O17" s="29"/>
      <c r="P17" s="29"/>
      <c r="Q17" s="29"/>
      <c r="R17" s="29"/>
      <c r="S17" s="29"/>
      <c r="T17" s="22"/>
      <c r="W17" s="221" t="s">
        <v>127</v>
      </c>
      <c r="X17" s="224">
        <v>2.4667999999999999E-2</v>
      </c>
    </row>
    <row r="18" spans="2:24" ht="15" customHeight="1" x14ac:dyDescent="0.25">
      <c r="B18" s="79"/>
      <c r="C18" s="180" t="s">
        <v>372</v>
      </c>
      <c r="D18" s="187" t="s">
        <v>3</v>
      </c>
      <c r="E18" s="194">
        <v>1.9716999999999998E-2</v>
      </c>
      <c r="F18" s="29">
        <v>11</v>
      </c>
      <c r="G18" s="29"/>
      <c r="H18" s="29"/>
      <c r="I18" s="29"/>
      <c r="J18" s="29"/>
      <c r="K18" s="29"/>
      <c r="L18" s="29"/>
      <c r="M18" s="29"/>
      <c r="N18" s="29"/>
      <c r="O18" s="29"/>
      <c r="P18" s="29"/>
      <c r="Q18" s="29"/>
      <c r="R18" s="29"/>
      <c r="S18" s="29"/>
      <c r="T18" s="22"/>
      <c r="W18" s="221" t="s">
        <v>107</v>
      </c>
      <c r="X18" s="224">
        <v>2.3396999999999998E-2</v>
      </c>
    </row>
    <row r="19" spans="2:24" ht="15" customHeight="1" x14ac:dyDescent="0.25">
      <c r="B19" s="79"/>
      <c r="C19" s="180" t="s">
        <v>31</v>
      </c>
      <c r="D19" s="187" t="s">
        <v>6</v>
      </c>
      <c r="E19" s="194">
        <v>1.9165000000000001E-2</v>
      </c>
      <c r="F19" s="29">
        <v>12</v>
      </c>
      <c r="G19" s="29"/>
      <c r="H19" s="29"/>
      <c r="I19" s="29"/>
      <c r="J19" s="29"/>
      <c r="K19" s="29"/>
      <c r="L19" s="29"/>
      <c r="M19" s="29"/>
      <c r="N19" s="29"/>
      <c r="O19" s="29"/>
      <c r="P19" s="29"/>
      <c r="Q19" s="29"/>
      <c r="R19" s="29"/>
      <c r="S19" s="29"/>
      <c r="T19" s="22"/>
      <c r="W19" s="221" t="s">
        <v>110</v>
      </c>
      <c r="X19" s="224">
        <v>2.1851000000000002E-2</v>
      </c>
    </row>
    <row r="20" spans="2:24" ht="15" customHeight="1" x14ac:dyDescent="0.25">
      <c r="B20" s="79"/>
      <c r="C20" s="180" t="s">
        <v>76</v>
      </c>
      <c r="D20" s="187" t="s">
        <v>3</v>
      </c>
      <c r="E20" s="194">
        <v>1.8693999999999999E-2</v>
      </c>
      <c r="F20" s="29">
        <v>13</v>
      </c>
      <c r="G20" s="29"/>
      <c r="H20" s="29"/>
      <c r="I20" s="29"/>
      <c r="J20" s="29"/>
      <c r="K20" s="29"/>
      <c r="L20" s="29"/>
      <c r="M20" s="29"/>
      <c r="N20" s="29"/>
      <c r="O20" s="29"/>
      <c r="P20" s="29"/>
      <c r="Q20" s="29"/>
      <c r="R20" s="29"/>
      <c r="S20" s="29"/>
      <c r="T20" s="22"/>
      <c r="W20" s="221" t="s">
        <v>179</v>
      </c>
      <c r="X20" s="224">
        <v>2.0667000000000001E-2</v>
      </c>
    </row>
    <row r="21" spans="2:24" ht="15" customHeight="1" x14ac:dyDescent="0.25">
      <c r="B21" s="79"/>
      <c r="C21" s="180" t="s">
        <v>34</v>
      </c>
      <c r="D21" s="187" t="s">
        <v>23</v>
      </c>
      <c r="E21" s="194">
        <v>1.8272E-2</v>
      </c>
      <c r="F21" s="29">
        <v>14</v>
      </c>
      <c r="G21" s="29"/>
      <c r="H21" s="29"/>
      <c r="I21" s="29"/>
      <c r="J21" s="29"/>
      <c r="K21" s="29"/>
      <c r="L21" s="29"/>
      <c r="M21" s="29"/>
      <c r="N21" s="29"/>
      <c r="O21" s="29"/>
      <c r="P21" s="29"/>
      <c r="Q21" s="29"/>
      <c r="R21" s="29"/>
      <c r="S21" s="29"/>
      <c r="T21" s="22"/>
      <c r="W21" s="173" t="s">
        <v>12</v>
      </c>
      <c r="X21" s="224">
        <v>2.0329E-2</v>
      </c>
    </row>
    <row r="22" spans="2:24" ht="15" customHeight="1" x14ac:dyDescent="0.25">
      <c r="B22" s="79"/>
      <c r="C22" s="180" t="s">
        <v>35</v>
      </c>
      <c r="D22" s="187" t="s">
        <v>3</v>
      </c>
      <c r="E22" s="194">
        <v>1.6590000000000001E-2</v>
      </c>
      <c r="F22" s="29">
        <v>15</v>
      </c>
      <c r="G22" s="29"/>
      <c r="H22" s="29"/>
      <c r="I22" s="29"/>
      <c r="J22" s="29"/>
      <c r="K22" s="29"/>
      <c r="L22" s="29"/>
      <c r="M22" s="29"/>
      <c r="N22" s="29"/>
      <c r="O22" s="29"/>
      <c r="P22" s="29"/>
      <c r="Q22" s="29"/>
      <c r="R22" s="29"/>
      <c r="S22" s="29"/>
      <c r="T22" s="22"/>
      <c r="W22" s="173" t="s">
        <v>24</v>
      </c>
      <c r="X22" s="224">
        <v>1.9991999999999999E-2</v>
      </c>
    </row>
    <row r="23" spans="2:24" ht="15" customHeight="1" x14ac:dyDescent="0.25">
      <c r="B23" s="79"/>
      <c r="C23" s="71"/>
      <c r="D23" s="71"/>
      <c r="E23" s="146"/>
      <c r="F23" s="29"/>
      <c r="G23" s="29"/>
      <c r="H23" s="29"/>
      <c r="I23" s="29"/>
      <c r="J23" s="29"/>
      <c r="K23" s="29"/>
      <c r="L23" s="29"/>
      <c r="M23" s="29"/>
      <c r="N23" s="29"/>
      <c r="O23" s="29"/>
      <c r="P23" s="29"/>
      <c r="Q23" s="29"/>
      <c r="R23" s="29"/>
      <c r="S23" s="29"/>
      <c r="T23" s="22"/>
      <c r="W23" s="173" t="s">
        <v>6</v>
      </c>
      <c r="X23" s="224">
        <v>1.9165000000000001E-2</v>
      </c>
    </row>
    <row r="24" spans="2:24" ht="15" customHeight="1" x14ac:dyDescent="0.25">
      <c r="B24" s="79"/>
      <c r="C24" s="73" t="s">
        <v>55</v>
      </c>
      <c r="D24" s="74"/>
      <c r="E24" s="75">
        <f>SUM(E8:E22)</f>
        <v>0.37484899999999993</v>
      </c>
      <c r="F24" s="29"/>
      <c r="G24" s="29"/>
      <c r="H24" s="29"/>
      <c r="I24" s="29"/>
      <c r="J24" s="29"/>
      <c r="K24" s="29"/>
      <c r="L24" s="29"/>
      <c r="M24" s="29"/>
      <c r="N24" s="29"/>
      <c r="O24" s="29"/>
      <c r="P24" s="29"/>
      <c r="Q24" s="29"/>
      <c r="R24" s="29"/>
      <c r="S24" s="29"/>
      <c r="T24" s="22"/>
      <c r="W24" s="173" t="s">
        <v>74</v>
      </c>
      <c r="X24" s="224">
        <v>1.8668000000000001E-2</v>
      </c>
    </row>
    <row r="25" spans="2:24" ht="15" customHeight="1" x14ac:dyDescent="0.25">
      <c r="B25" s="79"/>
      <c r="F25" s="29"/>
      <c r="G25" s="29"/>
      <c r="H25" s="29"/>
      <c r="I25" s="29"/>
      <c r="J25" s="29"/>
      <c r="K25" s="29"/>
      <c r="L25" s="29"/>
      <c r="M25" s="29"/>
      <c r="N25" s="29"/>
      <c r="O25" s="29"/>
      <c r="P25" s="29"/>
      <c r="Q25" s="29"/>
      <c r="R25" s="29"/>
      <c r="S25" s="29"/>
      <c r="T25" s="22"/>
      <c r="W25" s="173" t="s">
        <v>113</v>
      </c>
      <c r="X25" s="224">
        <v>1.4412999999999999E-2</v>
      </c>
    </row>
    <row r="26" spans="2:24" ht="15" customHeight="1" x14ac:dyDescent="0.25">
      <c r="B26" s="79"/>
      <c r="F26" s="29"/>
      <c r="G26" s="29"/>
      <c r="H26" s="29"/>
      <c r="I26" s="29"/>
      <c r="J26" s="29"/>
      <c r="K26" s="29"/>
      <c r="L26" s="29"/>
      <c r="M26" s="29"/>
      <c r="N26" s="29"/>
      <c r="O26" s="29"/>
      <c r="P26" s="29"/>
      <c r="Q26" s="29"/>
      <c r="R26" s="29"/>
      <c r="S26" s="29"/>
      <c r="T26" s="22"/>
      <c r="W26" s="173" t="s">
        <v>121</v>
      </c>
      <c r="X26" s="224">
        <v>1.3698999999999999E-2</v>
      </c>
    </row>
    <row r="27" spans="2:24" ht="15" customHeight="1" x14ac:dyDescent="0.25">
      <c r="B27" s="79"/>
      <c r="F27" s="29"/>
      <c r="G27" s="29"/>
      <c r="H27" s="29"/>
      <c r="I27" s="29"/>
      <c r="J27" s="29"/>
      <c r="K27" s="29"/>
      <c r="L27" s="29"/>
      <c r="M27" s="29"/>
      <c r="N27" s="29"/>
      <c r="O27" s="29"/>
      <c r="P27" s="29"/>
      <c r="Q27" s="29"/>
      <c r="R27" s="29"/>
      <c r="S27" s="29"/>
      <c r="T27" s="22"/>
      <c r="W27" s="173" t="s">
        <v>25</v>
      </c>
      <c r="X27" s="224">
        <v>1.3212E-2</v>
      </c>
    </row>
    <row r="28" spans="2:24" ht="15" customHeight="1" x14ac:dyDescent="0.25">
      <c r="B28" s="79"/>
      <c r="F28" s="29"/>
      <c r="G28" s="29"/>
      <c r="H28" s="29"/>
      <c r="I28" s="29"/>
      <c r="J28" s="29"/>
      <c r="K28" s="29"/>
      <c r="L28" s="29"/>
      <c r="M28" s="29"/>
      <c r="N28" s="29"/>
      <c r="O28" s="29"/>
      <c r="P28" s="29"/>
      <c r="Q28" s="29"/>
      <c r="R28" s="29"/>
      <c r="S28" s="29"/>
      <c r="T28" s="22"/>
      <c r="W28" s="173" t="s">
        <v>84</v>
      </c>
      <c r="X28" s="224">
        <v>1.1743E-2</v>
      </c>
    </row>
    <row r="29" spans="2:24" ht="15" customHeight="1" x14ac:dyDescent="0.25">
      <c r="B29" s="79"/>
      <c r="F29" s="29"/>
      <c r="G29" s="29"/>
      <c r="H29" s="29"/>
      <c r="I29" s="29"/>
      <c r="J29" s="29"/>
      <c r="K29" s="29"/>
      <c r="L29" s="29"/>
      <c r="M29" s="29"/>
      <c r="N29" s="29"/>
      <c r="O29" s="29"/>
      <c r="P29" s="29"/>
      <c r="Q29" s="29"/>
      <c r="R29" s="29"/>
      <c r="S29" s="29"/>
      <c r="T29" s="22"/>
      <c r="W29" s="173" t="s">
        <v>83</v>
      </c>
      <c r="X29" s="224">
        <v>1.1239000000000001E-2</v>
      </c>
    </row>
    <row r="30" spans="2:24" ht="15" customHeight="1" x14ac:dyDescent="0.25">
      <c r="B30" s="79"/>
      <c r="F30" s="29"/>
      <c r="G30" s="29"/>
      <c r="H30" s="29"/>
      <c r="I30" s="29"/>
      <c r="J30" s="29"/>
      <c r="K30" s="29"/>
      <c r="L30" s="29"/>
      <c r="M30" s="29"/>
      <c r="N30" s="29"/>
      <c r="O30" s="29"/>
      <c r="P30" s="29"/>
      <c r="Q30" s="29"/>
      <c r="R30" s="29"/>
      <c r="S30" s="29"/>
      <c r="T30" s="22"/>
      <c r="W30" s="173" t="s">
        <v>11</v>
      </c>
      <c r="X30" s="224">
        <v>1.1036000000000001E-2</v>
      </c>
    </row>
    <row r="31" spans="2:24" ht="15" customHeight="1" x14ac:dyDescent="0.25">
      <c r="B31" s="79"/>
      <c r="F31" s="29"/>
      <c r="G31" s="29"/>
      <c r="H31" s="29"/>
      <c r="I31" s="29"/>
      <c r="J31" s="29"/>
      <c r="K31" s="29"/>
      <c r="L31" s="29"/>
      <c r="M31" s="29"/>
      <c r="N31" s="29"/>
      <c r="O31" s="29"/>
      <c r="P31" s="29"/>
      <c r="Q31" s="29"/>
      <c r="R31" s="29"/>
      <c r="S31" s="29"/>
      <c r="T31" s="22"/>
      <c r="W31" s="173" t="s">
        <v>80</v>
      </c>
      <c r="X31" s="224">
        <v>9.9100000000000004E-3</v>
      </c>
    </row>
    <row r="32" spans="2:24" ht="15.75" customHeight="1" x14ac:dyDescent="0.25">
      <c r="B32" s="79"/>
      <c r="F32" s="29"/>
      <c r="G32" s="29"/>
      <c r="H32" s="29"/>
      <c r="I32" s="29"/>
      <c r="J32" s="29"/>
      <c r="K32" s="29"/>
      <c r="L32" s="29"/>
      <c r="M32" s="29"/>
      <c r="N32" s="29"/>
      <c r="O32" s="29"/>
      <c r="P32" s="29"/>
      <c r="Q32" s="29"/>
      <c r="R32" s="29"/>
      <c r="S32" s="29"/>
      <c r="T32" s="22"/>
      <c r="W32" s="173" t="s">
        <v>82</v>
      </c>
      <c r="X32" s="224">
        <v>9.8420000000000001E-3</v>
      </c>
    </row>
    <row r="33" spans="2:24" ht="15" customHeight="1" x14ac:dyDescent="0.25">
      <c r="B33" s="79"/>
      <c r="F33" s="29"/>
      <c r="G33" s="29"/>
      <c r="H33" s="29"/>
      <c r="I33" s="29"/>
      <c r="J33" s="29"/>
      <c r="K33" s="29"/>
      <c r="L33" s="29"/>
      <c r="M33" s="29"/>
      <c r="N33" s="29"/>
      <c r="O33" s="29"/>
      <c r="P33" s="29"/>
      <c r="Q33" s="29"/>
      <c r="R33" s="29"/>
      <c r="S33" s="29"/>
      <c r="T33" s="22"/>
      <c r="W33" s="173" t="s">
        <v>116</v>
      </c>
      <c r="X33" s="224">
        <v>9.1210000000000006E-3</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73" t="s">
        <v>118</v>
      </c>
      <c r="X34" s="224">
        <v>8.9870000000000002E-3</v>
      </c>
    </row>
    <row r="35" spans="2:24" ht="15" customHeight="1" thickBot="1" x14ac:dyDescent="0.3">
      <c r="W35" s="173" t="s">
        <v>111</v>
      </c>
      <c r="X35" s="224">
        <v>6.084E-3</v>
      </c>
    </row>
    <row r="36" spans="2:24" ht="15" customHeight="1" x14ac:dyDescent="0.25">
      <c r="B36" s="306" t="s">
        <v>177</v>
      </c>
      <c r="C36" s="307"/>
      <c r="D36" s="307"/>
      <c r="E36" s="307"/>
      <c r="F36" s="307"/>
      <c r="G36" s="307"/>
      <c r="H36" s="307"/>
      <c r="I36" s="307"/>
      <c r="J36" s="307"/>
      <c r="K36" s="307"/>
      <c r="L36" s="307"/>
      <c r="M36" s="307"/>
      <c r="N36" s="307"/>
      <c r="O36" s="307"/>
      <c r="P36" s="307"/>
      <c r="Q36" s="307"/>
      <c r="R36" s="308"/>
      <c r="W36" s="173" t="s">
        <v>16</v>
      </c>
      <c r="X36" s="224">
        <v>5.7909999999999993E-3</v>
      </c>
    </row>
    <row r="37" spans="2:24" ht="15" customHeight="1" x14ac:dyDescent="0.25">
      <c r="B37" s="309"/>
      <c r="C37" s="310"/>
      <c r="D37" s="310"/>
      <c r="E37" s="310"/>
      <c r="F37" s="310"/>
      <c r="G37" s="310"/>
      <c r="H37" s="310"/>
      <c r="I37" s="310"/>
      <c r="J37" s="310"/>
      <c r="K37" s="310"/>
      <c r="L37" s="310"/>
      <c r="M37" s="310"/>
      <c r="N37" s="310"/>
      <c r="O37" s="310"/>
      <c r="P37" s="310"/>
      <c r="Q37" s="310"/>
      <c r="R37" s="311"/>
      <c r="W37" s="173" t="s">
        <v>123</v>
      </c>
      <c r="X37" s="224">
        <v>4.7549999999999997E-3</v>
      </c>
    </row>
    <row r="38" spans="2:24" ht="15" customHeight="1" x14ac:dyDescent="0.25">
      <c r="B38" s="309"/>
      <c r="C38" s="310"/>
      <c r="D38" s="310"/>
      <c r="E38" s="310"/>
      <c r="F38" s="310"/>
      <c r="G38" s="310"/>
      <c r="H38" s="310"/>
      <c r="I38" s="310"/>
      <c r="J38" s="310"/>
      <c r="K38" s="310"/>
      <c r="L38" s="310"/>
      <c r="M38" s="310"/>
      <c r="N38" s="310"/>
      <c r="O38" s="310"/>
      <c r="P38" s="310"/>
      <c r="Q38" s="310"/>
      <c r="R38" s="311"/>
      <c r="W38" s="173" t="s">
        <v>134</v>
      </c>
      <c r="X38" s="224">
        <v>4.7149999999999996E-3</v>
      </c>
    </row>
    <row r="39" spans="2:24" ht="15" customHeight="1" x14ac:dyDescent="0.25">
      <c r="B39" s="309"/>
      <c r="C39" s="310"/>
      <c r="D39" s="310"/>
      <c r="E39" s="310"/>
      <c r="F39" s="310"/>
      <c r="G39" s="310"/>
      <c r="H39" s="310"/>
      <c r="I39" s="310"/>
      <c r="J39" s="310"/>
      <c r="K39" s="310"/>
      <c r="L39" s="310"/>
      <c r="M39" s="310"/>
      <c r="N39" s="310"/>
      <c r="O39" s="310"/>
      <c r="P39" s="310"/>
      <c r="Q39" s="310"/>
      <c r="R39" s="311"/>
      <c r="W39" s="173" t="s">
        <v>114</v>
      </c>
      <c r="X39" s="224">
        <v>4.5409999999999999E-3</v>
      </c>
    </row>
    <row r="40" spans="2:24" ht="15" customHeight="1" x14ac:dyDescent="0.25">
      <c r="B40" s="309"/>
      <c r="C40" s="310"/>
      <c r="D40" s="310"/>
      <c r="E40" s="310"/>
      <c r="F40" s="310"/>
      <c r="G40" s="310"/>
      <c r="H40" s="310"/>
      <c r="I40" s="310"/>
      <c r="J40" s="310"/>
      <c r="K40" s="310"/>
      <c r="L40" s="310"/>
      <c r="M40" s="310"/>
      <c r="N40" s="310"/>
      <c r="O40" s="310"/>
      <c r="P40" s="310"/>
      <c r="Q40" s="310"/>
      <c r="R40" s="311"/>
      <c r="W40" s="173" t="s">
        <v>103</v>
      </c>
      <c r="X40" s="224">
        <v>3.96E-3</v>
      </c>
    </row>
    <row r="41" spans="2:24" ht="15" customHeight="1" x14ac:dyDescent="0.25">
      <c r="B41" s="309"/>
      <c r="C41" s="310"/>
      <c r="D41" s="310"/>
      <c r="E41" s="310"/>
      <c r="F41" s="310"/>
      <c r="G41" s="310"/>
      <c r="H41" s="310"/>
      <c r="I41" s="310"/>
      <c r="J41" s="310"/>
      <c r="K41" s="310"/>
      <c r="L41" s="310"/>
      <c r="M41" s="310"/>
      <c r="N41" s="310"/>
      <c r="O41" s="310"/>
      <c r="P41" s="310"/>
      <c r="Q41" s="310"/>
      <c r="R41" s="311"/>
      <c r="W41" s="173" t="s">
        <v>105</v>
      </c>
      <c r="X41" s="224">
        <v>3.274E-3</v>
      </c>
    </row>
    <row r="42" spans="2:24" ht="15" customHeight="1" thickBot="1" x14ac:dyDescent="0.3">
      <c r="B42" s="312"/>
      <c r="C42" s="313"/>
      <c r="D42" s="313"/>
      <c r="E42" s="313"/>
      <c r="F42" s="313"/>
      <c r="G42" s="313"/>
      <c r="H42" s="313"/>
      <c r="I42" s="313"/>
      <c r="J42" s="313"/>
      <c r="K42" s="313"/>
      <c r="L42" s="313"/>
      <c r="M42" s="313"/>
      <c r="N42" s="313"/>
      <c r="O42" s="313"/>
      <c r="P42" s="313"/>
      <c r="Q42" s="313"/>
      <c r="R42" s="314"/>
      <c r="W42" s="39" t="s">
        <v>119</v>
      </c>
      <c r="X42" s="224">
        <v>3.156E-3</v>
      </c>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S3"/>
    <mergeCell ref="D5:E5"/>
    <mergeCell ref="B36:R4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77"/>
      <c r="C2" s="78"/>
      <c r="D2" s="78"/>
      <c r="E2" s="78"/>
      <c r="F2" s="78"/>
      <c r="G2" s="78"/>
      <c r="H2" s="78"/>
      <c r="I2" s="78"/>
      <c r="J2" s="78"/>
      <c r="K2" s="78"/>
      <c r="L2" s="78"/>
      <c r="M2" s="78"/>
      <c r="N2" s="78"/>
      <c r="O2" s="78"/>
      <c r="P2" s="78"/>
      <c r="Q2" s="78"/>
      <c r="R2" s="78"/>
      <c r="S2" s="78"/>
      <c r="T2" s="21"/>
    </row>
    <row r="3" spans="1:25" ht="20.25" customHeight="1" x14ac:dyDescent="0.25">
      <c r="B3" s="79"/>
      <c r="C3" s="315" t="s">
        <v>201</v>
      </c>
      <c r="D3" s="316"/>
      <c r="E3" s="316"/>
      <c r="F3" s="316"/>
      <c r="G3" s="316"/>
      <c r="H3" s="316"/>
      <c r="I3" s="316"/>
      <c r="J3" s="316"/>
      <c r="K3" s="316"/>
      <c r="L3" s="316"/>
      <c r="M3" s="316"/>
      <c r="N3" s="316"/>
      <c r="O3" s="316"/>
      <c r="P3" s="316"/>
      <c r="Q3" s="316"/>
      <c r="R3" s="316"/>
      <c r="S3" s="316"/>
      <c r="T3" s="22"/>
    </row>
    <row r="4" spans="1:25" ht="15.75" customHeight="1" x14ac:dyDescent="0.25">
      <c r="B4" s="79"/>
      <c r="C4" s="67" t="s">
        <v>430</v>
      </c>
      <c r="D4" s="29"/>
      <c r="E4" s="29"/>
      <c r="F4" s="29"/>
      <c r="G4" s="29"/>
      <c r="H4" s="29"/>
      <c r="I4" s="29"/>
      <c r="J4" s="29"/>
      <c r="K4" s="29"/>
      <c r="L4" s="29"/>
      <c r="M4" s="29"/>
      <c r="N4" s="29"/>
      <c r="O4" s="29"/>
      <c r="P4" s="29"/>
      <c r="Q4" s="29"/>
      <c r="R4" s="29"/>
      <c r="S4" s="29"/>
      <c r="T4" s="22"/>
    </row>
    <row r="5" spans="1:25" ht="18" customHeight="1" x14ac:dyDescent="0.25">
      <c r="B5" s="79"/>
      <c r="C5" s="211" t="s">
        <v>431</v>
      </c>
      <c r="D5" s="317" t="s">
        <v>398</v>
      </c>
      <c r="E5" s="317"/>
      <c r="F5" s="29"/>
      <c r="G5" s="29"/>
      <c r="H5" s="29"/>
      <c r="I5" s="29"/>
      <c r="J5" s="29"/>
      <c r="K5" s="29"/>
      <c r="L5" s="29"/>
      <c r="M5" s="29"/>
      <c r="N5" s="29"/>
      <c r="O5" s="29"/>
      <c r="P5" s="29"/>
      <c r="Q5" s="29"/>
      <c r="R5" s="29"/>
      <c r="S5" s="29"/>
      <c r="T5" s="22"/>
    </row>
    <row r="6" spans="1:25" ht="15" customHeight="1" x14ac:dyDescent="0.25">
      <c r="B6" s="79"/>
      <c r="C6" s="29"/>
      <c r="D6" s="29"/>
      <c r="E6" s="29"/>
      <c r="F6" s="29"/>
      <c r="G6" s="29"/>
      <c r="H6" s="29"/>
      <c r="I6" s="29"/>
      <c r="J6" s="29"/>
      <c r="K6" s="29"/>
      <c r="L6" s="29"/>
      <c r="M6" s="29"/>
      <c r="N6" s="29"/>
      <c r="O6" s="29"/>
      <c r="P6" s="29"/>
      <c r="Q6" s="29"/>
      <c r="R6" s="29"/>
      <c r="S6" s="29"/>
      <c r="T6" s="22"/>
    </row>
    <row r="7" spans="1:25"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5" ht="15" customHeight="1" x14ac:dyDescent="0.25">
      <c r="B8" s="79"/>
      <c r="C8" s="184" t="s">
        <v>29</v>
      </c>
      <c r="D8" s="185" t="s">
        <v>3</v>
      </c>
      <c r="E8" s="186">
        <v>7.9698000000000005E-2</v>
      </c>
      <c r="F8" s="29"/>
      <c r="G8" s="29"/>
      <c r="H8" s="29"/>
      <c r="I8" s="29"/>
      <c r="J8" s="29"/>
      <c r="K8" s="29"/>
      <c r="L8" s="29"/>
      <c r="M8" s="29"/>
      <c r="N8" s="29"/>
      <c r="O8" s="29"/>
      <c r="P8" s="29"/>
      <c r="Q8" s="29"/>
      <c r="R8" s="29"/>
      <c r="S8" s="29"/>
      <c r="T8" s="22"/>
      <c r="W8" s="166" t="s">
        <v>3</v>
      </c>
      <c r="X8" s="167">
        <v>0.23477700000000001</v>
      </c>
      <c r="Y8" s="142"/>
    </row>
    <row r="9" spans="1:25" ht="15.75" customHeight="1" x14ac:dyDescent="0.25">
      <c r="B9" s="79"/>
      <c r="C9" s="180" t="s">
        <v>31</v>
      </c>
      <c r="D9" s="187" t="s">
        <v>6</v>
      </c>
      <c r="E9" s="188">
        <v>6.7419000000000007E-2</v>
      </c>
      <c r="F9" s="29"/>
      <c r="G9" s="29"/>
      <c r="H9" s="29"/>
      <c r="I9" s="29"/>
      <c r="J9" s="29"/>
      <c r="K9" s="29"/>
      <c r="L9" s="29"/>
      <c r="M9" s="29"/>
      <c r="N9" s="29"/>
      <c r="O9" s="29"/>
      <c r="P9" s="29"/>
      <c r="Q9" s="29"/>
      <c r="R9" s="29"/>
      <c r="S9" s="29"/>
      <c r="T9" s="22"/>
      <c r="W9" s="166" t="s">
        <v>6</v>
      </c>
      <c r="X9" s="167">
        <v>7.6575000000000004E-2</v>
      </c>
      <c r="Y9" s="142"/>
    </row>
    <row r="10" spans="1:25" ht="15" customHeight="1" x14ac:dyDescent="0.25">
      <c r="B10" s="79"/>
      <c r="C10" s="180" t="s">
        <v>32</v>
      </c>
      <c r="D10" s="187" t="s">
        <v>3</v>
      </c>
      <c r="E10" s="188">
        <v>5.6127999999999997E-2</v>
      </c>
      <c r="F10" s="29"/>
      <c r="G10" s="29"/>
      <c r="H10" s="29"/>
      <c r="I10" s="29"/>
      <c r="J10" s="29"/>
      <c r="K10" s="29"/>
      <c r="L10" s="29"/>
      <c r="M10" s="29"/>
      <c r="N10" s="29"/>
      <c r="O10" s="29"/>
      <c r="P10" s="29"/>
      <c r="Q10" s="29"/>
      <c r="R10" s="29"/>
      <c r="S10" s="29"/>
      <c r="T10" s="22"/>
      <c r="W10" s="166" t="s">
        <v>104</v>
      </c>
      <c r="X10" s="167">
        <v>7.2661000000000003E-2</v>
      </c>
      <c r="Y10" s="142"/>
    </row>
    <row r="11" spans="1:25" ht="15" customHeight="1" x14ac:dyDescent="0.25">
      <c r="B11" s="79"/>
      <c r="C11" s="180" t="s">
        <v>36</v>
      </c>
      <c r="D11" s="187" t="s">
        <v>3</v>
      </c>
      <c r="E11" s="188">
        <v>4.9710999999999998E-2</v>
      </c>
      <c r="F11" s="29"/>
      <c r="G11" s="29"/>
      <c r="H11" s="29"/>
      <c r="I11" s="29"/>
      <c r="J11" s="29"/>
      <c r="K11" s="29"/>
      <c r="L11" s="29"/>
      <c r="M11" s="29"/>
      <c r="N11" s="29"/>
      <c r="O11" s="29"/>
      <c r="P11" s="29"/>
      <c r="Q11" s="29"/>
      <c r="R11" s="29"/>
      <c r="S11" s="29"/>
      <c r="T11" s="22"/>
      <c r="W11" s="166" t="s">
        <v>108</v>
      </c>
      <c r="X11" s="167">
        <v>6.5736000000000003E-2</v>
      </c>
      <c r="Y11" s="142"/>
    </row>
    <row r="12" spans="1:25" ht="15" customHeight="1" x14ac:dyDescent="0.25">
      <c r="B12" s="79"/>
      <c r="C12" s="180" t="s">
        <v>33</v>
      </c>
      <c r="D12" s="187" t="s">
        <v>104</v>
      </c>
      <c r="E12" s="188">
        <v>4.2327999999999998E-2</v>
      </c>
      <c r="F12" s="29"/>
      <c r="G12" s="29"/>
      <c r="H12" s="29"/>
      <c r="I12" s="29"/>
      <c r="J12" s="29"/>
      <c r="K12" s="29"/>
      <c r="L12" s="29"/>
      <c r="M12" s="29"/>
      <c r="N12" s="29"/>
      <c r="O12" s="29"/>
      <c r="P12" s="29"/>
      <c r="Q12" s="29"/>
      <c r="R12" s="29"/>
      <c r="S12" s="29"/>
      <c r="T12" s="22"/>
      <c r="W12" s="166" t="s">
        <v>4</v>
      </c>
      <c r="X12" s="167">
        <v>4.9061000000000007E-2</v>
      </c>
      <c r="Y12" s="142"/>
    </row>
    <row r="13" spans="1:25" ht="15" customHeight="1" x14ac:dyDescent="0.25">
      <c r="B13" s="79"/>
      <c r="C13" s="180" t="s">
        <v>28</v>
      </c>
      <c r="D13" s="187" t="s">
        <v>104</v>
      </c>
      <c r="E13" s="188">
        <v>3.0332999999999999E-2</v>
      </c>
      <c r="F13" s="29"/>
      <c r="G13" s="29"/>
      <c r="H13" s="29"/>
      <c r="I13" s="29"/>
      <c r="J13" s="29"/>
      <c r="K13" s="29"/>
      <c r="L13" s="29"/>
      <c r="M13" s="29"/>
      <c r="N13" s="29"/>
      <c r="O13" s="29"/>
      <c r="P13" s="29"/>
      <c r="Q13" s="29"/>
      <c r="R13" s="29"/>
      <c r="S13" s="29"/>
      <c r="T13" s="22"/>
      <c r="W13" s="166" t="s">
        <v>109</v>
      </c>
      <c r="X13" s="167">
        <v>4.1169999999999998E-2</v>
      </c>
      <c r="Y13" s="142"/>
    </row>
    <row r="14" spans="1:25" ht="15" customHeight="1" x14ac:dyDescent="0.25">
      <c r="B14" s="79"/>
      <c r="C14" s="180" t="s">
        <v>35</v>
      </c>
      <c r="D14" s="187" t="s">
        <v>3</v>
      </c>
      <c r="E14" s="188">
        <v>2.9831E-2</v>
      </c>
      <c r="F14" s="29"/>
      <c r="G14" s="29"/>
      <c r="H14" s="29"/>
      <c r="I14" s="29"/>
      <c r="J14" s="29"/>
      <c r="K14" s="29"/>
      <c r="L14" s="29"/>
      <c r="M14" s="29"/>
      <c r="N14" s="29"/>
      <c r="O14" s="29"/>
      <c r="P14" s="29"/>
      <c r="Q14" s="29"/>
      <c r="R14" s="29"/>
      <c r="S14" s="29"/>
      <c r="T14" s="22"/>
      <c r="W14" s="166" t="s">
        <v>83</v>
      </c>
      <c r="X14" s="167">
        <v>4.0443E-2</v>
      </c>
      <c r="Y14" s="142"/>
    </row>
    <row r="15" spans="1:25" ht="15" customHeight="1" x14ac:dyDescent="0.25">
      <c r="B15" s="79"/>
      <c r="C15" s="180" t="s">
        <v>70</v>
      </c>
      <c r="D15" s="187" t="s">
        <v>12</v>
      </c>
      <c r="E15" s="188">
        <v>2.6689000000000001E-2</v>
      </c>
      <c r="F15" s="29"/>
      <c r="G15" s="29"/>
      <c r="H15" s="29"/>
      <c r="I15" s="29"/>
      <c r="J15" s="29"/>
      <c r="K15" s="29"/>
      <c r="L15" s="29"/>
      <c r="M15" s="29"/>
      <c r="N15" s="29"/>
      <c r="O15" s="29"/>
      <c r="P15" s="29"/>
      <c r="Q15" s="29"/>
      <c r="R15" s="29"/>
      <c r="S15" s="29"/>
      <c r="T15" s="22"/>
      <c r="W15" s="166" t="s">
        <v>16</v>
      </c>
      <c r="X15" s="167">
        <v>3.6240000000000001E-2</v>
      </c>
      <c r="Y15" s="142"/>
    </row>
    <row r="16" spans="1:25" ht="15" customHeight="1" x14ac:dyDescent="0.25">
      <c r="B16" s="79"/>
      <c r="C16" s="180" t="s">
        <v>141</v>
      </c>
      <c r="D16" s="187" t="s">
        <v>109</v>
      </c>
      <c r="E16" s="188">
        <v>2.1686E-2</v>
      </c>
      <c r="F16" s="29"/>
      <c r="G16" s="29"/>
      <c r="H16" s="29"/>
      <c r="I16" s="29"/>
      <c r="J16" s="29"/>
      <c r="K16" s="29"/>
      <c r="L16" s="29"/>
      <c r="M16" s="29"/>
      <c r="N16" s="29"/>
      <c r="O16" s="29"/>
      <c r="P16" s="29"/>
      <c r="Q16" s="29"/>
      <c r="R16" s="29"/>
      <c r="S16" s="29"/>
      <c r="T16" s="22"/>
      <c r="W16" s="166" t="s">
        <v>12</v>
      </c>
      <c r="X16" s="167">
        <v>2.9180000000000001E-2</v>
      </c>
      <c r="Y16" s="142"/>
    </row>
    <row r="17" spans="2:25" ht="15" customHeight="1" x14ac:dyDescent="0.25">
      <c r="B17" s="79"/>
      <c r="C17" s="180" t="s">
        <v>72</v>
      </c>
      <c r="D17" s="187" t="s">
        <v>11</v>
      </c>
      <c r="E17" s="188">
        <v>2.0465000000000001E-2</v>
      </c>
      <c r="F17" s="29"/>
      <c r="G17" s="29"/>
      <c r="H17" s="29"/>
      <c r="I17" s="29"/>
      <c r="J17" s="29"/>
      <c r="K17" s="29"/>
      <c r="L17" s="29"/>
      <c r="M17" s="29"/>
      <c r="N17" s="29"/>
      <c r="O17" s="29"/>
      <c r="P17" s="29"/>
      <c r="Q17" s="29"/>
      <c r="R17" s="29"/>
      <c r="S17" s="29"/>
      <c r="T17" s="22"/>
      <c r="W17" s="166" t="s">
        <v>107</v>
      </c>
      <c r="X17" s="167">
        <v>2.8126000000000002E-2</v>
      </c>
      <c r="Y17" s="142"/>
    </row>
    <row r="18" spans="2:25" ht="15" customHeight="1" x14ac:dyDescent="0.25">
      <c r="B18" s="79"/>
      <c r="C18" s="180" t="s">
        <v>93</v>
      </c>
      <c r="D18" s="187" t="s">
        <v>109</v>
      </c>
      <c r="E18" s="188">
        <v>1.9484000000000001E-2</v>
      </c>
      <c r="F18" s="29"/>
      <c r="G18" s="29"/>
      <c r="H18" s="29"/>
      <c r="I18" s="29"/>
      <c r="J18" s="29"/>
      <c r="K18" s="29"/>
      <c r="L18" s="29"/>
      <c r="M18" s="29"/>
      <c r="N18" s="29"/>
      <c r="O18" s="29"/>
      <c r="P18" s="29"/>
      <c r="Q18" s="29"/>
      <c r="R18" s="29"/>
      <c r="S18" s="29"/>
      <c r="T18" s="22"/>
      <c r="W18" s="166" t="s">
        <v>11</v>
      </c>
      <c r="X18" s="167">
        <v>2.6988000000000002E-2</v>
      </c>
      <c r="Y18" s="142"/>
    </row>
    <row r="19" spans="2:25" ht="15" customHeight="1" x14ac:dyDescent="0.25">
      <c r="B19" s="79"/>
      <c r="C19" s="180" t="s">
        <v>95</v>
      </c>
      <c r="D19" s="187" t="s">
        <v>116</v>
      </c>
      <c r="E19" s="188">
        <v>1.8759999999999999E-2</v>
      </c>
      <c r="F19" s="29"/>
      <c r="G19" s="29"/>
      <c r="H19" s="29"/>
      <c r="I19" s="29"/>
      <c r="J19" s="29"/>
      <c r="K19" s="29"/>
      <c r="L19" s="29"/>
      <c r="M19" s="29"/>
      <c r="N19" s="29"/>
      <c r="O19" s="29"/>
      <c r="P19" s="29"/>
      <c r="Q19" s="29"/>
      <c r="R19" s="29"/>
      <c r="S19" s="29"/>
      <c r="T19" s="22"/>
      <c r="W19" s="166" t="s">
        <v>103</v>
      </c>
      <c r="X19" s="167">
        <v>2.5958000000000002E-2</v>
      </c>
      <c r="Y19" s="142"/>
    </row>
    <row r="20" spans="2:25" ht="15" customHeight="1" x14ac:dyDescent="0.25">
      <c r="B20" s="79"/>
      <c r="C20" s="180" t="s">
        <v>319</v>
      </c>
      <c r="D20" s="187" t="s">
        <v>83</v>
      </c>
      <c r="E20" s="188">
        <v>1.6988E-2</v>
      </c>
      <c r="F20" s="29"/>
      <c r="G20" s="29"/>
      <c r="H20" s="29"/>
      <c r="I20" s="29"/>
      <c r="J20" s="29"/>
      <c r="K20" s="29"/>
      <c r="L20" s="29"/>
      <c r="M20" s="29"/>
      <c r="N20" s="29"/>
      <c r="O20" s="29"/>
      <c r="P20" s="29"/>
      <c r="Q20" s="29"/>
      <c r="R20" s="29"/>
      <c r="S20" s="29"/>
      <c r="T20" s="22"/>
      <c r="W20" s="166" t="s">
        <v>105</v>
      </c>
      <c r="X20" s="167">
        <v>2.4219999999999998E-2</v>
      </c>
      <c r="Y20" s="142"/>
    </row>
    <row r="21" spans="2:25" ht="15" customHeight="1" x14ac:dyDescent="0.25">
      <c r="B21" s="79"/>
      <c r="C21" s="180" t="s">
        <v>295</v>
      </c>
      <c r="D21" s="187" t="s">
        <v>26</v>
      </c>
      <c r="E21" s="188">
        <v>1.5824000000000001E-2</v>
      </c>
      <c r="F21" s="29"/>
      <c r="G21" s="29"/>
      <c r="H21" s="29"/>
      <c r="I21" s="29"/>
      <c r="J21" s="29"/>
      <c r="K21" s="29"/>
      <c r="L21" s="29"/>
      <c r="M21" s="29"/>
      <c r="N21" s="29"/>
      <c r="O21" s="29"/>
      <c r="P21" s="29"/>
      <c r="Q21" s="29"/>
      <c r="R21" s="29"/>
      <c r="S21" s="29"/>
      <c r="T21" s="22"/>
      <c r="W21" s="166" t="s">
        <v>23</v>
      </c>
      <c r="X21" s="167">
        <v>2.393E-2</v>
      </c>
      <c r="Y21" s="142"/>
    </row>
    <row r="22" spans="2:25" ht="15" customHeight="1" x14ac:dyDescent="0.25">
      <c r="B22" s="79"/>
      <c r="C22" s="180" t="s">
        <v>353</v>
      </c>
      <c r="D22" s="187" t="s">
        <v>83</v>
      </c>
      <c r="E22" s="188">
        <v>1.5637999999999999E-2</v>
      </c>
      <c r="F22" s="29"/>
      <c r="G22" s="29"/>
      <c r="H22" s="29"/>
      <c r="I22" s="29"/>
      <c r="J22" s="29"/>
      <c r="K22" s="29"/>
      <c r="L22" s="29"/>
      <c r="M22" s="29"/>
      <c r="N22" s="29"/>
      <c r="O22" s="29"/>
      <c r="P22" s="29"/>
      <c r="Q22" s="29"/>
      <c r="R22" s="29"/>
      <c r="S22" s="29"/>
      <c r="T22" s="22"/>
      <c r="W22" s="166" t="s">
        <v>80</v>
      </c>
      <c r="X22" s="167">
        <v>1.8825000000000001E-2</v>
      </c>
      <c r="Y22" s="142"/>
    </row>
    <row r="23" spans="2:25" ht="15" customHeight="1" x14ac:dyDescent="0.25">
      <c r="B23" s="79"/>
      <c r="C23" s="71"/>
      <c r="D23" s="71"/>
      <c r="E23" s="72"/>
      <c r="F23" s="29"/>
      <c r="G23" s="29"/>
      <c r="H23" s="29"/>
      <c r="I23" s="29"/>
      <c r="J23" s="29"/>
      <c r="K23" s="29"/>
      <c r="L23" s="29"/>
      <c r="M23" s="29"/>
      <c r="N23" s="29"/>
      <c r="O23" s="29"/>
      <c r="P23" s="29"/>
      <c r="Q23" s="29"/>
      <c r="R23" s="29"/>
      <c r="S23" s="29"/>
      <c r="T23" s="22"/>
      <c r="W23" s="166" t="s">
        <v>116</v>
      </c>
      <c r="X23" s="167">
        <v>1.8759999999999999E-2</v>
      </c>
      <c r="Y23" s="142"/>
    </row>
    <row r="24" spans="2:25" ht="15" customHeight="1" x14ac:dyDescent="0.25">
      <c r="B24" s="79"/>
      <c r="C24" s="73" t="s">
        <v>55</v>
      </c>
      <c r="D24" s="74"/>
      <c r="E24" s="75">
        <f>SUM(E8:E22)</f>
        <v>0.51098200000000005</v>
      </c>
      <c r="F24" s="29"/>
      <c r="G24" s="29"/>
      <c r="H24" s="29"/>
      <c r="I24" s="29"/>
      <c r="J24" s="29"/>
      <c r="K24" s="29"/>
      <c r="L24" s="29"/>
      <c r="M24" s="29"/>
      <c r="N24" s="29"/>
      <c r="O24" s="29"/>
      <c r="P24" s="29"/>
      <c r="Q24" s="29"/>
      <c r="R24" s="29"/>
      <c r="S24" s="29"/>
      <c r="T24" s="22"/>
      <c r="W24" s="166" t="s">
        <v>110</v>
      </c>
      <c r="X24" s="167">
        <v>1.7061E-2</v>
      </c>
      <c r="Y24" s="142"/>
    </row>
    <row r="25" spans="2:25" ht="15" customHeight="1" x14ac:dyDescent="0.25">
      <c r="B25" s="79"/>
      <c r="F25" s="29"/>
      <c r="G25" s="29"/>
      <c r="H25" s="29"/>
      <c r="I25" s="29"/>
      <c r="J25" s="29"/>
      <c r="K25" s="29"/>
      <c r="L25" s="29"/>
      <c r="M25" s="29"/>
      <c r="N25" s="29"/>
      <c r="O25" s="29"/>
      <c r="P25" s="29"/>
      <c r="Q25" s="29"/>
      <c r="R25" s="29"/>
      <c r="S25" s="29"/>
      <c r="T25" s="22"/>
      <c r="W25" s="166" t="s">
        <v>26</v>
      </c>
      <c r="X25" s="167">
        <v>1.6592000000000003E-2</v>
      </c>
      <c r="Y25" s="142"/>
    </row>
    <row r="26" spans="2:25" ht="15" customHeight="1" x14ac:dyDescent="0.25">
      <c r="B26" s="79"/>
      <c r="F26" s="29"/>
      <c r="G26" s="29"/>
      <c r="H26" s="29"/>
      <c r="I26" s="29"/>
      <c r="J26" s="29"/>
      <c r="K26" s="29"/>
      <c r="L26" s="29"/>
      <c r="M26" s="29"/>
      <c r="N26" s="29"/>
      <c r="O26" s="29"/>
      <c r="P26" s="29"/>
      <c r="Q26" s="29"/>
      <c r="R26" s="29"/>
      <c r="S26" s="29"/>
      <c r="T26" s="22"/>
      <c r="W26" s="166" t="s">
        <v>114</v>
      </c>
      <c r="X26" s="167">
        <v>1.5027E-2</v>
      </c>
      <c r="Y26" s="142"/>
    </row>
    <row r="27" spans="2:25" ht="15" customHeight="1" x14ac:dyDescent="0.25">
      <c r="B27" s="79"/>
      <c r="F27" s="29"/>
      <c r="G27" s="29"/>
      <c r="H27" s="29"/>
      <c r="I27" s="29"/>
      <c r="J27" s="29"/>
      <c r="K27" s="29"/>
      <c r="L27" s="29"/>
      <c r="M27" s="29"/>
      <c r="N27" s="29"/>
      <c r="O27" s="29"/>
      <c r="P27" s="29"/>
      <c r="Q27" s="29"/>
      <c r="R27" s="29"/>
      <c r="S27" s="29"/>
      <c r="T27" s="22"/>
      <c r="W27" s="166" t="s">
        <v>115</v>
      </c>
      <c r="X27" s="167">
        <v>1.3879000000000001E-2</v>
      </c>
      <c r="Y27" s="142"/>
    </row>
    <row r="28" spans="2:25" ht="15" customHeight="1" x14ac:dyDescent="0.25">
      <c r="B28" s="79"/>
      <c r="F28" s="29"/>
      <c r="G28" s="29"/>
      <c r="H28" s="29"/>
      <c r="I28" s="29"/>
      <c r="J28" s="29"/>
      <c r="K28" s="29"/>
      <c r="L28" s="29"/>
      <c r="M28" s="29"/>
      <c r="N28" s="29"/>
      <c r="O28" s="29"/>
      <c r="P28" s="29"/>
      <c r="Q28" s="29"/>
      <c r="R28" s="29"/>
      <c r="S28" s="29"/>
      <c r="T28" s="22"/>
      <c r="W28" s="166" t="s">
        <v>130</v>
      </c>
      <c r="X28" s="167">
        <v>1.3776999999999999E-2</v>
      </c>
      <c r="Y28" s="142"/>
    </row>
    <row r="29" spans="2:25" ht="15" customHeight="1" x14ac:dyDescent="0.25">
      <c r="B29" s="79"/>
      <c r="F29" s="29"/>
      <c r="G29" s="29"/>
      <c r="H29" s="29"/>
      <c r="I29" s="29"/>
      <c r="J29" s="29"/>
      <c r="K29" s="29"/>
      <c r="L29" s="29"/>
      <c r="M29" s="29"/>
      <c r="N29" s="29"/>
      <c r="O29" s="29"/>
      <c r="P29" s="29"/>
      <c r="Q29" s="29"/>
      <c r="R29" s="29"/>
      <c r="S29" s="29"/>
      <c r="T29" s="22"/>
      <c r="W29" s="166" t="s">
        <v>81</v>
      </c>
      <c r="X29" s="167">
        <v>1.1850000000000001E-2</v>
      </c>
      <c r="Y29" s="142"/>
    </row>
    <row r="30" spans="2:25" ht="15" customHeight="1" x14ac:dyDescent="0.25">
      <c r="B30" s="79"/>
      <c r="F30" s="29"/>
      <c r="G30" s="29"/>
      <c r="H30" s="29"/>
      <c r="I30" s="29"/>
      <c r="J30" s="29"/>
      <c r="K30" s="29"/>
      <c r="L30" s="29"/>
      <c r="M30" s="29"/>
      <c r="N30" s="29"/>
      <c r="O30" s="29"/>
      <c r="P30" s="29"/>
      <c r="Q30" s="29"/>
      <c r="R30" s="29"/>
      <c r="S30" s="29"/>
      <c r="T30" s="22"/>
      <c r="W30" s="166" t="s">
        <v>121</v>
      </c>
      <c r="X30" s="167">
        <v>1.051E-2</v>
      </c>
    </row>
    <row r="31" spans="2:25" ht="15" customHeight="1" x14ac:dyDescent="0.25">
      <c r="B31" s="79"/>
      <c r="F31" s="29"/>
      <c r="G31" s="29"/>
      <c r="H31" s="29"/>
      <c r="I31" s="29"/>
      <c r="J31" s="29"/>
      <c r="K31" s="29"/>
      <c r="L31" s="29"/>
      <c r="M31" s="29"/>
      <c r="N31" s="29"/>
      <c r="O31" s="29"/>
      <c r="P31" s="29"/>
      <c r="Q31" s="29"/>
      <c r="R31" s="29"/>
      <c r="S31" s="29"/>
      <c r="T31" s="22"/>
      <c r="W31" s="166" t="s">
        <v>10</v>
      </c>
      <c r="X31" s="167">
        <v>7.2009999999999999E-3</v>
      </c>
    </row>
    <row r="32" spans="2:25" ht="15" customHeight="1" x14ac:dyDescent="0.25">
      <c r="B32" s="79"/>
      <c r="F32" s="29"/>
      <c r="G32" s="29"/>
      <c r="H32" s="29"/>
      <c r="I32" s="29"/>
      <c r="J32" s="29"/>
      <c r="K32" s="29"/>
      <c r="L32" s="29"/>
      <c r="M32" s="29"/>
      <c r="N32" s="29"/>
      <c r="O32" s="29"/>
      <c r="P32" s="29"/>
      <c r="Q32" s="29"/>
      <c r="R32" s="29"/>
      <c r="S32" s="29"/>
      <c r="T32" s="22"/>
      <c r="W32" s="166" t="s">
        <v>317</v>
      </c>
      <c r="X32" s="167">
        <v>6.9300000000000004E-3</v>
      </c>
    </row>
    <row r="33" spans="2:24" ht="15" customHeight="1" x14ac:dyDescent="0.25">
      <c r="B33" s="79"/>
      <c r="F33" s="29"/>
      <c r="G33" s="29"/>
      <c r="H33" s="29"/>
      <c r="I33" s="29"/>
      <c r="J33" s="29"/>
      <c r="K33" s="29"/>
      <c r="L33" s="29"/>
      <c r="M33" s="29"/>
      <c r="N33" s="29"/>
      <c r="O33" s="29"/>
      <c r="P33" s="29"/>
      <c r="Q33" s="29"/>
      <c r="R33" s="29"/>
      <c r="S33" s="29"/>
      <c r="T33" s="22"/>
      <c r="W33" s="166" t="s">
        <v>25</v>
      </c>
      <c r="X33" s="167">
        <v>4.0930000000000003E-3</v>
      </c>
    </row>
    <row r="34" spans="2:24" ht="15" customHeight="1" x14ac:dyDescent="0.25">
      <c r="B34" s="79"/>
      <c r="F34" s="29"/>
      <c r="G34" s="29"/>
      <c r="H34" s="29"/>
      <c r="I34" s="29"/>
      <c r="J34" s="29"/>
      <c r="K34" s="29"/>
      <c r="L34" s="29"/>
      <c r="M34" s="29"/>
      <c r="N34" s="29"/>
      <c r="O34" s="29"/>
      <c r="P34" s="29"/>
      <c r="Q34" s="29"/>
      <c r="R34" s="29"/>
      <c r="S34" s="29"/>
      <c r="T34" s="22"/>
      <c r="W34" s="166" t="s">
        <v>24</v>
      </c>
      <c r="X34" s="167">
        <v>3.2880000000000001E-3</v>
      </c>
    </row>
    <row r="35" spans="2:24" ht="15" customHeight="1" x14ac:dyDescent="0.25">
      <c r="B35" s="79"/>
      <c r="F35" s="29"/>
      <c r="G35" s="29"/>
      <c r="H35" s="29"/>
      <c r="I35" s="29"/>
      <c r="J35" s="29"/>
      <c r="K35" s="29"/>
      <c r="L35" s="29"/>
      <c r="M35" s="29"/>
      <c r="N35" s="29"/>
      <c r="O35" s="29"/>
      <c r="P35" s="29"/>
      <c r="Q35" s="29"/>
      <c r="R35" s="29"/>
      <c r="S35" s="29"/>
      <c r="T35" s="22"/>
      <c r="W35" s="166" t="s">
        <v>113</v>
      </c>
      <c r="X35" s="167">
        <v>2.6229999999999999E-3</v>
      </c>
    </row>
    <row r="36" spans="2:24" ht="15" customHeight="1" x14ac:dyDescent="0.25">
      <c r="B36" s="79"/>
      <c r="F36" s="29"/>
      <c r="G36" s="29"/>
      <c r="H36" s="29"/>
      <c r="I36" s="29"/>
      <c r="J36" s="29"/>
      <c r="K36" s="29"/>
      <c r="L36" s="29"/>
      <c r="M36" s="29"/>
      <c r="N36" s="29"/>
      <c r="O36" s="29"/>
      <c r="P36" s="29"/>
      <c r="Q36" s="29"/>
      <c r="R36" s="29"/>
      <c r="S36" s="29"/>
      <c r="T36" s="22"/>
      <c r="W36" s="166"/>
      <c r="X36" s="167"/>
    </row>
    <row r="37" spans="2:24" ht="15" customHeight="1" x14ac:dyDescent="0.25">
      <c r="B37" s="79"/>
      <c r="F37" s="29"/>
      <c r="G37" s="29"/>
      <c r="H37" s="29"/>
      <c r="I37" s="29"/>
      <c r="J37" s="29"/>
      <c r="K37" s="29"/>
      <c r="L37" s="29"/>
      <c r="M37" s="29"/>
      <c r="N37" s="29"/>
      <c r="O37" s="29"/>
      <c r="P37" s="29"/>
      <c r="Q37" s="29"/>
      <c r="R37" s="29"/>
      <c r="S37" s="29"/>
      <c r="T37" s="22"/>
      <c r="W37" s="166"/>
      <c r="X37" s="167"/>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X38" s="167"/>
    </row>
    <row r="39" spans="2:24" ht="15" customHeight="1" thickBot="1" x14ac:dyDescent="0.3"/>
    <row r="40" spans="2:24" ht="15" customHeight="1" x14ac:dyDescent="0.25">
      <c r="B40" s="306" t="s">
        <v>177</v>
      </c>
      <c r="C40" s="307"/>
      <c r="D40" s="307"/>
      <c r="E40" s="307"/>
      <c r="F40" s="307"/>
      <c r="G40" s="307"/>
      <c r="H40" s="307"/>
      <c r="I40" s="307"/>
      <c r="J40" s="307"/>
      <c r="K40" s="307"/>
      <c r="L40" s="307"/>
      <c r="M40" s="307"/>
      <c r="N40" s="307"/>
      <c r="O40" s="307"/>
      <c r="P40" s="307"/>
      <c r="Q40" s="307"/>
      <c r="R40" s="308"/>
    </row>
    <row r="41" spans="2:24" ht="15" customHeight="1" x14ac:dyDescent="0.25">
      <c r="B41" s="309"/>
      <c r="C41" s="310"/>
      <c r="D41" s="310"/>
      <c r="E41" s="310"/>
      <c r="F41" s="310"/>
      <c r="G41" s="310"/>
      <c r="H41" s="310"/>
      <c r="I41" s="310"/>
      <c r="J41" s="310"/>
      <c r="K41" s="310"/>
      <c r="L41" s="310"/>
      <c r="M41" s="310"/>
      <c r="N41" s="310"/>
      <c r="O41" s="310"/>
      <c r="P41" s="310"/>
      <c r="Q41" s="310"/>
      <c r="R41" s="311"/>
    </row>
    <row r="42" spans="2:24" ht="15" customHeight="1" x14ac:dyDescent="0.25">
      <c r="B42" s="309"/>
      <c r="C42" s="310"/>
      <c r="D42" s="310"/>
      <c r="E42" s="310"/>
      <c r="F42" s="310"/>
      <c r="G42" s="310"/>
      <c r="H42" s="310"/>
      <c r="I42" s="310"/>
      <c r="J42" s="310"/>
      <c r="K42" s="310"/>
      <c r="L42" s="310"/>
      <c r="M42" s="310"/>
      <c r="N42" s="310"/>
      <c r="O42" s="310"/>
      <c r="P42" s="310"/>
      <c r="Q42" s="310"/>
      <c r="R42" s="311"/>
    </row>
    <row r="43" spans="2:24" ht="15" customHeight="1" x14ac:dyDescent="0.25">
      <c r="B43" s="309"/>
      <c r="C43" s="310"/>
      <c r="D43" s="310"/>
      <c r="E43" s="310"/>
      <c r="F43" s="310"/>
      <c r="G43" s="310"/>
      <c r="H43" s="310"/>
      <c r="I43" s="310"/>
      <c r="J43" s="310"/>
      <c r="K43" s="310"/>
      <c r="L43" s="310"/>
      <c r="M43" s="310"/>
      <c r="N43" s="310"/>
      <c r="O43" s="310"/>
      <c r="P43" s="310"/>
      <c r="Q43" s="310"/>
      <c r="R43" s="311"/>
    </row>
    <row r="44" spans="2:24" ht="15" customHeight="1" x14ac:dyDescent="0.25">
      <c r="B44" s="309"/>
      <c r="C44" s="310"/>
      <c r="D44" s="310"/>
      <c r="E44" s="310"/>
      <c r="F44" s="310"/>
      <c r="G44" s="310"/>
      <c r="H44" s="310"/>
      <c r="I44" s="310"/>
      <c r="J44" s="310"/>
      <c r="K44" s="310"/>
      <c r="L44" s="310"/>
      <c r="M44" s="310"/>
      <c r="N44" s="310"/>
      <c r="O44" s="310"/>
      <c r="P44" s="310"/>
      <c r="Q44" s="310"/>
      <c r="R44" s="311"/>
    </row>
    <row r="45" spans="2:24" ht="15" customHeight="1" x14ac:dyDescent="0.25">
      <c r="B45" s="309"/>
      <c r="C45" s="310"/>
      <c r="D45" s="310"/>
      <c r="E45" s="310"/>
      <c r="F45" s="310"/>
      <c r="G45" s="310"/>
      <c r="H45" s="310"/>
      <c r="I45" s="310"/>
      <c r="J45" s="310"/>
      <c r="K45" s="310"/>
      <c r="L45" s="310"/>
      <c r="M45" s="310"/>
      <c r="N45" s="310"/>
      <c r="O45" s="310"/>
      <c r="P45" s="310"/>
      <c r="Q45" s="310"/>
      <c r="R45" s="311"/>
    </row>
    <row r="46" spans="2:24" ht="15" customHeight="1" thickBot="1" x14ac:dyDescent="0.3">
      <c r="B46" s="312"/>
      <c r="C46" s="313"/>
      <c r="D46" s="313"/>
      <c r="E46" s="313"/>
      <c r="F46" s="313"/>
      <c r="G46" s="313"/>
      <c r="H46" s="313"/>
      <c r="I46" s="313"/>
      <c r="J46" s="313"/>
      <c r="K46" s="313"/>
      <c r="L46" s="313"/>
      <c r="M46" s="313"/>
      <c r="N46" s="313"/>
      <c r="O46" s="313"/>
      <c r="P46" s="313"/>
      <c r="Q46" s="313"/>
      <c r="R46" s="314"/>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pageSetUpPr fitToPage="1"/>
  </sheetPr>
  <dimension ref="A1:AA1497"/>
  <sheetViews>
    <sheetView showGridLines="0" zoomScale="75" zoomScaleNormal="75" workbookViewId="0"/>
  </sheetViews>
  <sheetFormatPr defaultColWidth="9.140625" defaultRowHeight="15" x14ac:dyDescent="0.2"/>
  <cols>
    <col min="1" max="1" width="2.85546875" style="3" customWidth="1"/>
    <col min="2" max="2" width="3.85546875" style="3" customWidth="1"/>
    <col min="3" max="3" width="62.5703125" style="3" customWidth="1"/>
    <col min="4" max="4" width="21.85546875" style="3"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1"/>
      <c r="C2" s="42"/>
      <c r="D2" s="42"/>
      <c r="E2" s="42"/>
      <c r="F2" s="42"/>
      <c r="G2" s="42"/>
      <c r="H2" s="42"/>
      <c r="I2" s="42"/>
      <c r="J2" s="42"/>
      <c r="K2" s="42"/>
      <c r="L2" s="42"/>
      <c r="M2" s="42"/>
      <c r="N2" s="42"/>
      <c r="O2" s="42"/>
      <c r="P2" s="42"/>
      <c r="Q2" s="92"/>
    </row>
    <row r="3" spans="2:27" ht="20.25" customHeight="1" x14ac:dyDescent="0.2">
      <c r="B3" s="93"/>
      <c r="C3" s="300" t="s">
        <v>158</v>
      </c>
      <c r="D3" s="300"/>
      <c r="E3" s="300"/>
      <c r="F3" s="300"/>
      <c r="G3" s="300"/>
      <c r="H3" s="300"/>
      <c r="I3" s="300"/>
      <c r="J3" s="300"/>
      <c r="K3" s="300"/>
      <c r="L3" s="300"/>
      <c r="M3" s="300"/>
      <c r="N3" s="300"/>
      <c r="O3" s="300"/>
      <c r="P3" s="300"/>
      <c r="Q3" s="20"/>
    </row>
    <row r="4" spans="2:27" ht="15.75" x14ac:dyDescent="0.25">
      <c r="B4" s="93"/>
      <c r="C4" s="67" t="s">
        <v>430</v>
      </c>
      <c r="D4" s="5"/>
      <c r="E4" s="5"/>
      <c r="F4" s="5"/>
      <c r="G4" s="5"/>
      <c r="H4" s="5"/>
      <c r="I4" s="5"/>
      <c r="J4" s="5"/>
      <c r="K4" s="5"/>
      <c r="L4" s="5"/>
      <c r="M4" s="5"/>
      <c r="N4" s="5"/>
      <c r="O4" s="5"/>
      <c r="P4" s="5"/>
      <c r="Q4" s="20"/>
    </row>
    <row r="5" spans="2:27" ht="20.25" x14ac:dyDescent="0.2">
      <c r="B5" s="93"/>
      <c r="C5" s="211" t="s">
        <v>431</v>
      </c>
      <c r="D5" s="317" t="s">
        <v>399</v>
      </c>
      <c r="E5" s="317"/>
      <c r="F5" s="5"/>
      <c r="G5" s="5"/>
      <c r="H5" s="5"/>
      <c r="I5" s="5"/>
      <c r="J5" s="5"/>
      <c r="K5" s="5"/>
      <c r="L5" s="5"/>
      <c r="M5" s="5"/>
      <c r="N5" s="5"/>
      <c r="O5" s="5"/>
      <c r="P5" s="5"/>
      <c r="Q5" s="20"/>
    </row>
    <row r="6" spans="2:27" x14ac:dyDescent="0.2">
      <c r="B6" s="93"/>
      <c r="C6" s="5"/>
      <c r="D6" s="5"/>
      <c r="E6" s="5"/>
      <c r="F6" s="5"/>
      <c r="G6" s="5"/>
      <c r="H6" s="5"/>
      <c r="I6" s="5"/>
      <c r="J6" s="5"/>
      <c r="K6" s="5"/>
      <c r="L6" s="5"/>
      <c r="M6" s="5"/>
      <c r="N6" s="5"/>
      <c r="O6" s="5"/>
      <c r="P6" s="5"/>
      <c r="Q6" s="20"/>
      <c r="R6" s="2"/>
      <c r="S6" s="2"/>
      <c r="T6" s="1"/>
    </row>
    <row r="7" spans="2:27" ht="32.25" customHeight="1" x14ac:dyDescent="0.2">
      <c r="B7" s="93"/>
      <c r="C7" s="160" t="s">
        <v>0</v>
      </c>
      <c r="D7" s="95" t="s">
        <v>1</v>
      </c>
      <c r="E7" s="117" t="s">
        <v>2</v>
      </c>
      <c r="F7" s="5"/>
      <c r="G7" s="5"/>
      <c r="H7" s="5"/>
      <c r="I7" s="5"/>
      <c r="J7" s="5"/>
      <c r="K7" s="5"/>
      <c r="L7" s="5"/>
      <c r="M7" s="5"/>
      <c r="N7" s="5"/>
      <c r="O7" s="5"/>
      <c r="P7" s="5"/>
      <c r="Q7" s="20"/>
      <c r="R7" s="12" t="s">
        <v>38</v>
      </c>
      <c r="S7" s="12" t="s">
        <v>159</v>
      </c>
      <c r="T7" s="164"/>
      <c r="U7" s="273"/>
    </row>
    <row r="8" spans="2:27" ht="15.75" x14ac:dyDescent="0.25">
      <c r="B8" s="93"/>
      <c r="C8" s="102"/>
      <c r="D8" s="38"/>
      <c r="E8" s="208"/>
      <c r="F8" s="5"/>
      <c r="G8" s="5"/>
      <c r="H8" s="5"/>
      <c r="I8" s="5"/>
      <c r="J8" s="5"/>
      <c r="K8" s="5"/>
      <c r="L8" s="5"/>
      <c r="M8" s="5"/>
      <c r="N8" s="5"/>
      <c r="O8" s="5"/>
      <c r="P8" s="5"/>
      <c r="Q8" s="20"/>
      <c r="R8" s="12" t="s">
        <v>39</v>
      </c>
      <c r="S8" s="13">
        <f>E9</f>
        <v>0.68597699999999995</v>
      </c>
      <c r="T8" s="164"/>
      <c r="U8" s="273"/>
      <c r="V8" s="56"/>
      <c r="W8" s="57"/>
      <c r="Z8" s="43"/>
      <c r="AA8" s="43"/>
    </row>
    <row r="9" spans="2:27" ht="15.75" x14ac:dyDescent="0.25">
      <c r="B9" s="93"/>
      <c r="C9" s="122" t="s">
        <v>39</v>
      </c>
      <c r="D9" s="119"/>
      <c r="E9" s="182">
        <v>0.68597699999999995</v>
      </c>
      <c r="F9" s="47"/>
      <c r="G9" s="5"/>
      <c r="H9" s="5"/>
      <c r="I9" s="5"/>
      <c r="J9" s="5"/>
      <c r="K9" s="5"/>
      <c r="L9" s="5"/>
      <c r="M9" s="5"/>
      <c r="N9" s="5"/>
      <c r="O9" s="5"/>
      <c r="P9" s="5"/>
      <c r="Q9" s="20"/>
      <c r="R9" s="12" t="s">
        <v>40</v>
      </c>
      <c r="S9" s="13">
        <f>100%-S8</f>
        <v>0.31402300000000005</v>
      </c>
      <c r="T9" s="164"/>
      <c r="U9" s="273"/>
      <c r="V9" s="56"/>
      <c r="W9" s="57"/>
      <c r="Z9" s="43"/>
      <c r="AA9" s="43"/>
    </row>
    <row r="10" spans="2:27" ht="15.75" x14ac:dyDescent="0.25">
      <c r="B10" s="93"/>
      <c r="C10" s="102"/>
      <c r="D10" s="38"/>
      <c r="E10" s="207"/>
      <c r="F10" s="47"/>
      <c r="G10" s="5"/>
      <c r="H10" s="5"/>
      <c r="I10" s="5"/>
      <c r="J10" s="5"/>
      <c r="K10" s="5"/>
      <c r="L10" s="5"/>
      <c r="M10" s="5"/>
      <c r="N10" s="5"/>
      <c r="O10" s="5"/>
      <c r="P10" s="5"/>
      <c r="Q10" s="20"/>
      <c r="R10" s="165"/>
      <c r="S10" s="164"/>
      <c r="T10" s="164"/>
      <c r="U10" s="273"/>
      <c r="V10" s="56"/>
      <c r="W10" s="57"/>
      <c r="Z10" s="43"/>
      <c r="AA10" s="43"/>
    </row>
    <row r="11" spans="2:27" ht="15.75" x14ac:dyDescent="0.25">
      <c r="B11" s="93"/>
      <c r="C11" s="122" t="s">
        <v>41</v>
      </c>
      <c r="D11" s="119"/>
      <c r="E11" s="182">
        <v>6.4492999999999995E-2</v>
      </c>
      <c r="F11" s="47"/>
      <c r="G11" s="5"/>
      <c r="H11" s="5"/>
      <c r="I11" s="5"/>
      <c r="J11" s="5"/>
      <c r="K11" s="5"/>
      <c r="L11" s="5"/>
      <c r="M11" s="5"/>
      <c r="N11" s="5"/>
      <c r="O11" s="5"/>
      <c r="P11" s="5"/>
      <c r="Q11" s="20"/>
      <c r="R11" s="14"/>
      <c r="S11" s="1"/>
      <c r="T11" s="1"/>
      <c r="U11" s="273"/>
      <c r="V11" s="56"/>
      <c r="W11" s="57"/>
    </row>
    <row r="12" spans="2:27" ht="15.75" x14ac:dyDescent="0.25">
      <c r="B12" s="93"/>
      <c r="C12" s="102"/>
      <c r="D12" s="38"/>
      <c r="E12" s="213"/>
      <c r="F12" s="47"/>
      <c r="G12" s="5"/>
      <c r="H12" s="5"/>
      <c r="I12" s="5"/>
      <c r="J12" s="5"/>
      <c r="K12" s="5"/>
      <c r="L12" s="5"/>
      <c r="M12" s="5"/>
      <c r="N12" s="5"/>
      <c r="O12" s="5"/>
      <c r="P12" s="5"/>
      <c r="Q12" s="20"/>
      <c r="R12" s="14"/>
      <c r="S12" s="1"/>
      <c r="T12" s="1"/>
      <c r="U12" s="273"/>
      <c r="V12" s="56"/>
      <c r="W12" s="57"/>
    </row>
    <row r="13" spans="2:27" ht="15.75" x14ac:dyDescent="0.25">
      <c r="B13" s="93"/>
      <c r="C13" s="122" t="s">
        <v>42</v>
      </c>
      <c r="D13" s="119"/>
      <c r="E13" s="182">
        <v>5.53E-4</v>
      </c>
      <c r="F13" s="47"/>
      <c r="G13" s="5"/>
      <c r="H13" s="5"/>
      <c r="I13" s="5"/>
      <c r="J13" s="5"/>
      <c r="K13" s="5"/>
      <c r="L13" s="5"/>
      <c r="M13" s="5"/>
      <c r="N13" s="5"/>
      <c r="O13" s="5"/>
      <c r="P13" s="5"/>
      <c r="Q13" s="20"/>
      <c r="R13" s="274"/>
      <c r="S13" s="273"/>
      <c r="T13" s="273"/>
      <c r="U13" s="273"/>
      <c r="V13" s="56"/>
      <c r="W13" s="57"/>
    </row>
    <row r="14" spans="2:27" ht="15.75" x14ac:dyDescent="0.25">
      <c r="B14" s="93"/>
      <c r="C14" s="102"/>
      <c r="D14" s="38"/>
      <c r="E14" s="213"/>
      <c r="F14" s="47"/>
      <c r="G14" s="5"/>
      <c r="H14" s="5"/>
      <c r="I14" s="5"/>
      <c r="J14" s="5"/>
      <c r="K14" s="5"/>
      <c r="L14" s="5"/>
      <c r="M14" s="5"/>
      <c r="N14" s="5"/>
      <c r="O14" s="5"/>
      <c r="P14" s="5"/>
      <c r="Q14" s="20"/>
      <c r="R14" s="274"/>
      <c r="S14" s="273"/>
      <c r="T14" s="273"/>
      <c r="U14" s="273"/>
      <c r="V14" s="56"/>
      <c r="W14" s="57"/>
    </row>
    <row r="15" spans="2:27" ht="15.75" x14ac:dyDescent="0.25">
      <c r="B15" s="93"/>
      <c r="C15" s="122" t="s">
        <v>339</v>
      </c>
      <c r="D15" s="119"/>
      <c r="E15" s="182">
        <v>1.6036000000000002E-2</v>
      </c>
      <c r="F15" s="47"/>
      <c r="G15" s="5"/>
      <c r="H15" s="5"/>
      <c r="I15" s="5"/>
      <c r="J15" s="5"/>
      <c r="K15" s="5"/>
      <c r="L15" s="5"/>
      <c r="M15" s="5"/>
      <c r="N15" s="5"/>
      <c r="O15" s="5"/>
      <c r="P15" s="5"/>
      <c r="Q15" s="20"/>
      <c r="R15" s="274"/>
      <c r="S15" s="273"/>
      <c r="T15" s="273"/>
      <c r="U15" s="273"/>
      <c r="V15" s="56"/>
      <c r="W15" s="57"/>
    </row>
    <row r="16" spans="2:27" ht="15.75" x14ac:dyDescent="0.25">
      <c r="B16" s="93"/>
      <c r="C16" s="102"/>
      <c r="D16" s="38"/>
      <c r="E16" s="213"/>
      <c r="F16" s="47"/>
      <c r="G16" s="5"/>
      <c r="H16" s="5"/>
      <c r="I16" s="5"/>
      <c r="J16" s="5"/>
      <c r="K16" s="5"/>
      <c r="L16" s="5"/>
      <c r="M16" s="5"/>
      <c r="N16" s="5"/>
      <c r="O16" s="5"/>
      <c r="P16" s="5"/>
      <c r="Q16" s="20"/>
      <c r="R16" s="49"/>
      <c r="V16" s="56"/>
      <c r="W16" s="57"/>
    </row>
    <row r="17" spans="2:18" ht="15.75" x14ac:dyDescent="0.25">
      <c r="B17" s="93"/>
      <c r="C17" s="122" t="s">
        <v>379</v>
      </c>
      <c r="D17" s="119"/>
      <c r="E17" s="182">
        <v>5.9220000000000002E-3</v>
      </c>
      <c r="F17" s="47"/>
      <c r="G17" s="29"/>
      <c r="H17" s="29"/>
      <c r="I17" s="29"/>
      <c r="J17" s="29"/>
      <c r="K17" s="29"/>
      <c r="L17" s="29"/>
      <c r="M17" s="29"/>
      <c r="N17" s="29"/>
      <c r="O17" s="29"/>
      <c r="P17" s="29"/>
      <c r="Q17" s="20"/>
      <c r="R17" s="49"/>
    </row>
    <row r="18" spans="2:18" ht="15.75" x14ac:dyDescent="0.25">
      <c r="B18" s="93"/>
      <c r="C18" s="102"/>
      <c r="D18" s="38"/>
      <c r="E18" s="213"/>
      <c r="F18" s="5"/>
      <c r="G18" s="29"/>
      <c r="H18" s="29"/>
      <c r="I18" s="29"/>
      <c r="J18" s="29"/>
      <c r="K18" s="29"/>
      <c r="L18" s="29"/>
      <c r="M18" s="29"/>
      <c r="N18" s="29"/>
      <c r="O18" s="29"/>
      <c r="P18" s="29"/>
      <c r="Q18" s="20"/>
      <c r="R18" s="49"/>
    </row>
    <row r="19" spans="2:18" ht="15.75" x14ac:dyDescent="0.2">
      <c r="B19" s="93"/>
      <c r="C19" s="122" t="s">
        <v>291</v>
      </c>
      <c r="D19" s="119"/>
      <c r="E19" s="182">
        <v>5.7799999999999995E-4</v>
      </c>
      <c r="F19" s="141"/>
      <c r="G19" s="5"/>
      <c r="H19" s="5"/>
      <c r="I19" s="5"/>
      <c r="J19" s="5"/>
      <c r="K19" s="5"/>
      <c r="L19" s="5"/>
      <c r="M19" s="5"/>
      <c r="N19" s="5"/>
      <c r="O19" s="5"/>
      <c r="P19" s="5"/>
      <c r="Q19" s="20"/>
      <c r="R19" s="49"/>
    </row>
    <row r="20" spans="2:18" x14ac:dyDescent="0.2">
      <c r="B20" s="93"/>
      <c r="C20" s="102"/>
      <c r="D20" s="38"/>
      <c r="E20" s="213"/>
      <c r="F20" s="5"/>
      <c r="G20" s="5"/>
      <c r="H20" s="5"/>
      <c r="I20" s="5"/>
      <c r="J20" s="5"/>
      <c r="K20" s="5"/>
      <c r="L20" s="5"/>
      <c r="M20" s="5"/>
      <c r="N20" s="5"/>
      <c r="O20" s="5"/>
      <c r="P20" s="5"/>
      <c r="Q20" s="20"/>
      <c r="R20" s="49"/>
    </row>
    <row r="21" spans="2:18" x14ac:dyDescent="0.2">
      <c r="B21" s="93"/>
      <c r="C21" s="102" t="s">
        <v>211</v>
      </c>
      <c r="D21" s="38"/>
      <c r="E21" s="219">
        <v>0.108621</v>
      </c>
      <c r="F21" s="5"/>
      <c r="G21" s="5"/>
      <c r="H21" s="5"/>
      <c r="I21" s="5"/>
      <c r="J21" s="5"/>
      <c r="K21" s="5"/>
      <c r="L21" s="5"/>
      <c r="M21" s="5"/>
      <c r="N21" s="5"/>
      <c r="O21" s="5"/>
      <c r="P21" s="5"/>
      <c r="Q21" s="20"/>
      <c r="R21" s="49"/>
    </row>
    <row r="22" spans="2:18" x14ac:dyDescent="0.2">
      <c r="B22" s="93"/>
      <c r="C22" s="102" t="s">
        <v>171</v>
      </c>
      <c r="D22" s="38"/>
      <c r="E22" s="219">
        <v>5.7686000000000001E-2</v>
      </c>
      <c r="F22" s="5"/>
      <c r="G22" s="5"/>
      <c r="H22" s="5"/>
      <c r="I22" s="5"/>
      <c r="J22" s="5"/>
      <c r="K22" s="5"/>
      <c r="L22" s="5"/>
      <c r="M22" s="5"/>
      <c r="N22" s="5"/>
      <c r="O22" s="5"/>
      <c r="P22" s="5"/>
      <c r="Q22" s="20"/>
      <c r="R22" s="49"/>
    </row>
    <row r="23" spans="2:18" x14ac:dyDescent="0.2">
      <c r="B23" s="93"/>
      <c r="C23" s="102" t="s">
        <v>380</v>
      </c>
      <c r="D23" s="38"/>
      <c r="E23" s="219">
        <v>2.8135E-2</v>
      </c>
      <c r="F23" s="5"/>
      <c r="G23" s="5"/>
      <c r="H23" s="5"/>
      <c r="I23" s="5"/>
      <c r="J23" s="5"/>
      <c r="K23" s="5"/>
      <c r="L23" s="5"/>
      <c r="M23" s="5"/>
      <c r="N23" s="5"/>
      <c r="O23" s="5"/>
      <c r="P23" s="5"/>
      <c r="Q23" s="20"/>
      <c r="R23" s="49"/>
    </row>
    <row r="24" spans="2:18" x14ac:dyDescent="0.2">
      <c r="B24" s="93"/>
      <c r="C24" s="102" t="s">
        <v>346</v>
      </c>
      <c r="D24" s="38"/>
      <c r="E24" s="219">
        <v>5.6369999999999996E-3</v>
      </c>
      <c r="F24" s="5"/>
      <c r="G24" s="5"/>
      <c r="H24" s="5"/>
      <c r="I24" s="5"/>
      <c r="J24" s="5"/>
      <c r="K24" s="5"/>
      <c r="L24" s="5"/>
      <c r="M24" s="5"/>
      <c r="N24" s="5"/>
      <c r="O24" s="5"/>
      <c r="P24" s="5"/>
      <c r="Q24" s="20"/>
      <c r="R24" s="49"/>
    </row>
    <row r="25" spans="2:18" ht="15.75" x14ac:dyDescent="0.2">
      <c r="B25" s="93"/>
      <c r="C25" s="122" t="s">
        <v>210</v>
      </c>
      <c r="D25" s="119"/>
      <c r="E25" s="182">
        <v>0.20007900000000001</v>
      </c>
      <c r="F25" s="5"/>
      <c r="G25" s="5"/>
      <c r="H25" s="5"/>
      <c r="I25" s="5"/>
      <c r="J25" s="5"/>
      <c r="K25" s="5"/>
      <c r="L25" s="5"/>
      <c r="M25" s="5"/>
      <c r="N25" s="5"/>
      <c r="O25" s="5"/>
      <c r="P25" s="5"/>
      <c r="Q25" s="20"/>
      <c r="R25" s="49"/>
    </row>
    <row r="26" spans="2:18" x14ac:dyDescent="0.2">
      <c r="B26" s="93"/>
      <c r="C26" s="102"/>
      <c r="D26" s="38"/>
      <c r="E26" s="207"/>
      <c r="F26" s="5"/>
      <c r="G26" s="5"/>
      <c r="H26" s="5"/>
      <c r="I26" s="5"/>
      <c r="J26" s="5"/>
      <c r="K26" s="5"/>
      <c r="L26" s="5"/>
      <c r="M26" s="5"/>
      <c r="N26" s="5"/>
      <c r="O26" s="5"/>
      <c r="P26" s="5"/>
      <c r="Q26" s="20"/>
      <c r="R26" s="49"/>
    </row>
    <row r="27" spans="2:18" ht="15.75" x14ac:dyDescent="0.2">
      <c r="B27" s="93"/>
      <c r="C27" s="122" t="s">
        <v>381</v>
      </c>
      <c r="D27" s="119"/>
      <c r="E27" s="206">
        <v>2.7030000000000001E-3</v>
      </c>
      <c r="F27" s="5"/>
      <c r="G27" s="5"/>
      <c r="H27" s="5"/>
      <c r="I27" s="5"/>
      <c r="J27" s="5"/>
      <c r="K27" s="5"/>
      <c r="L27" s="5"/>
      <c r="M27" s="5"/>
      <c r="N27" s="5"/>
      <c r="O27" s="5"/>
      <c r="P27" s="5"/>
      <c r="Q27" s="20"/>
      <c r="R27" s="49"/>
    </row>
    <row r="28" spans="2:18" x14ac:dyDescent="0.2">
      <c r="B28" s="93"/>
      <c r="C28" s="102"/>
      <c r="D28" s="38"/>
      <c r="E28" s="207"/>
      <c r="F28" s="141"/>
      <c r="G28" s="5"/>
      <c r="H28" s="5"/>
      <c r="I28" s="5"/>
      <c r="J28" s="5"/>
      <c r="K28" s="5"/>
      <c r="L28" s="5"/>
      <c r="M28" s="5"/>
      <c r="N28" s="5"/>
      <c r="O28" s="5"/>
      <c r="P28" s="5"/>
      <c r="Q28" s="20"/>
      <c r="R28" s="49"/>
    </row>
    <row r="29" spans="2:18" ht="15.75" x14ac:dyDescent="0.2">
      <c r="B29" s="93"/>
      <c r="C29" s="122" t="s">
        <v>20</v>
      </c>
      <c r="D29" s="119"/>
      <c r="E29" s="206">
        <v>2.3658999999999909E-2</v>
      </c>
      <c r="F29" s="5"/>
      <c r="G29" s="5"/>
      <c r="H29" s="5"/>
      <c r="I29" s="5"/>
      <c r="J29" s="5"/>
      <c r="K29" s="5"/>
      <c r="L29" s="5"/>
      <c r="M29" s="5"/>
      <c r="N29" s="5"/>
      <c r="O29" s="5"/>
      <c r="P29" s="5"/>
      <c r="Q29" s="20"/>
      <c r="R29" s="49"/>
    </row>
    <row r="30" spans="2:18" x14ac:dyDescent="0.2">
      <c r="B30" s="93"/>
      <c r="C30" s="102"/>
      <c r="D30" s="38"/>
      <c r="E30" s="207"/>
      <c r="F30" s="5"/>
      <c r="G30" s="5"/>
      <c r="H30" s="5"/>
      <c r="I30" s="5"/>
      <c r="J30" s="5"/>
      <c r="K30" s="5"/>
      <c r="L30" s="5"/>
      <c r="M30" s="5"/>
      <c r="N30" s="5"/>
      <c r="O30" s="5"/>
      <c r="P30" s="5"/>
      <c r="Q30" s="20"/>
      <c r="R30" s="49"/>
    </row>
    <row r="31" spans="2:18" ht="15.75" x14ac:dyDescent="0.2">
      <c r="B31" s="93"/>
      <c r="C31" s="204" t="s">
        <v>21</v>
      </c>
      <c r="D31" s="214"/>
      <c r="E31" s="209">
        <f>E29+E27+E25+E19+E17+E15+E13+E11+E9</f>
        <v>0.99999999999999989</v>
      </c>
      <c r="F31" s="5"/>
      <c r="G31" s="5"/>
      <c r="H31" s="5"/>
      <c r="I31" s="5"/>
      <c r="J31" s="5"/>
      <c r="K31" s="5"/>
      <c r="L31" s="5"/>
      <c r="M31" s="5"/>
      <c r="N31" s="5"/>
      <c r="O31" s="5"/>
      <c r="P31" s="5"/>
      <c r="Q31" s="20"/>
      <c r="R31" s="49"/>
    </row>
    <row r="32" spans="2:18" x14ac:dyDescent="0.2">
      <c r="B32" s="93"/>
      <c r="F32" s="5"/>
      <c r="G32" s="5"/>
      <c r="H32" s="5"/>
      <c r="I32" s="5"/>
      <c r="J32" s="5"/>
      <c r="K32" s="5"/>
      <c r="L32" s="5"/>
      <c r="M32" s="5"/>
      <c r="N32" s="5"/>
      <c r="O32" s="5"/>
      <c r="P32" s="5"/>
      <c r="Q32" s="20"/>
      <c r="R32" s="49"/>
    </row>
    <row r="33" spans="1:27" x14ac:dyDescent="0.2">
      <c r="B33" s="93"/>
      <c r="F33" s="5"/>
      <c r="G33" s="5"/>
      <c r="H33" s="5"/>
      <c r="I33" s="5"/>
      <c r="J33" s="5"/>
      <c r="K33" s="5"/>
      <c r="L33" s="5"/>
      <c r="M33" s="5"/>
      <c r="N33" s="5"/>
      <c r="O33" s="5"/>
      <c r="P33" s="5"/>
      <c r="Q33" s="20"/>
      <c r="R33" s="49"/>
    </row>
    <row r="34" spans="1:27" x14ac:dyDescent="0.2">
      <c r="B34" s="93"/>
      <c r="F34" s="5"/>
      <c r="G34" s="5"/>
      <c r="H34" s="5"/>
      <c r="I34" s="5"/>
      <c r="J34" s="5"/>
      <c r="K34" s="5"/>
      <c r="L34" s="5"/>
      <c r="M34" s="5"/>
      <c r="N34" s="5"/>
      <c r="O34" s="5"/>
      <c r="P34" s="5"/>
      <c r="Q34" s="20"/>
      <c r="R34" s="49"/>
    </row>
    <row r="35" spans="1:27" ht="15.75" thickBot="1" x14ac:dyDescent="0.25">
      <c r="A35" s="5"/>
      <c r="B35" s="96"/>
      <c r="C35" s="45"/>
      <c r="D35" s="45"/>
      <c r="E35" s="45"/>
      <c r="F35" s="45"/>
      <c r="G35" s="45"/>
      <c r="H35" s="45"/>
      <c r="I35" s="45"/>
      <c r="J35" s="45"/>
      <c r="K35" s="45"/>
      <c r="L35" s="45"/>
      <c r="M35" s="45"/>
      <c r="N35" s="45"/>
      <c r="O35" s="45"/>
      <c r="P35" s="45"/>
      <c r="Q35" s="116"/>
      <c r="R35" s="50"/>
      <c r="S35" s="5"/>
      <c r="T35" s="5"/>
      <c r="U35" s="5"/>
      <c r="V35" s="5"/>
      <c r="W35" s="5"/>
      <c r="X35" s="5"/>
      <c r="Y35" s="5"/>
      <c r="Z35" s="5"/>
      <c r="AA35" s="5"/>
    </row>
    <row r="36" spans="1:27" ht="15.75" thickBot="1" x14ac:dyDescent="0.25">
      <c r="A36" s="5"/>
      <c r="B36" s="5"/>
      <c r="C36" s="5"/>
      <c r="D36" s="5"/>
      <c r="E36" s="5"/>
      <c r="F36" s="5"/>
      <c r="G36" s="5"/>
      <c r="H36" s="5"/>
      <c r="I36" s="5"/>
      <c r="J36" s="5"/>
      <c r="K36" s="5"/>
      <c r="L36" s="5"/>
      <c r="M36" s="5"/>
      <c r="N36" s="5"/>
      <c r="O36" s="5"/>
      <c r="P36" s="5"/>
      <c r="Q36" s="5"/>
      <c r="R36" s="50"/>
      <c r="S36" s="5"/>
      <c r="T36" s="5"/>
      <c r="U36" s="5"/>
      <c r="V36" s="5"/>
      <c r="W36" s="5"/>
      <c r="X36" s="5"/>
      <c r="Y36" s="5"/>
      <c r="Z36" s="5"/>
      <c r="AA36" s="5"/>
    </row>
    <row r="37" spans="1:27" ht="15" customHeight="1" x14ac:dyDescent="0.2">
      <c r="A37" s="5"/>
      <c r="B37" s="306" t="s">
        <v>177</v>
      </c>
      <c r="C37" s="307"/>
      <c r="D37" s="307"/>
      <c r="E37" s="307"/>
      <c r="F37" s="307"/>
      <c r="G37" s="307"/>
      <c r="H37" s="307"/>
      <c r="I37" s="307"/>
      <c r="J37" s="307"/>
      <c r="K37" s="307"/>
      <c r="L37" s="307"/>
      <c r="M37" s="307"/>
      <c r="N37" s="307"/>
      <c r="O37" s="307"/>
      <c r="P37" s="307"/>
      <c r="Q37" s="307"/>
      <c r="R37" s="308"/>
      <c r="S37" s="5"/>
      <c r="T37" s="5"/>
      <c r="U37" s="5"/>
      <c r="V37" s="5"/>
      <c r="W37" s="5"/>
      <c r="X37" s="5"/>
      <c r="Y37" s="5"/>
      <c r="Z37" s="5"/>
      <c r="AA37" s="5"/>
    </row>
    <row r="38" spans="1:27" x14ac:dyDescent="0.2">
      <c r="A38" s="5"/>
      <c r="B38" s="309"/>
      <c r="C38" s="310"/>
      <c r="D38" s="310"/>
      <c r="E38" s="310"/>
      <c r="F38" s="310"/>
      <c r="G38" s="310"/>
      <c r="H38" s="310"/>
      <c r="I38" s="310"/>
      <c r="J38" s="310"/>
      <c r="K38" s="310"/>
      <c r="L38" s="310"/>
      <c r="M38" s="310"/>
      <c r="N38" s="310"/>
      <c r="O38" s="310"/>
      <c r="P38" s="310"/>
      <c r="Q38" s="310"/>
      <c r="R38" s="311"/>
      <c r="S38" s="5"/>
      <c r="T38" s="5"/>
      <c r="U38" s="5"/>
      <c r="V38" s="5"/>
      <c r="W38" s="5"/>
      <c r="X38" s="5"/>
      <c r="Y38" s="5"/>
      <c r="Z38" s="5"/>
      <c r="AA38" s="5"/>
    </row>
    <row r="39" spans="1:27" x14ac:dyDescent="0.2">
      <c r="A39" s="5"/>
      <c r="B39" s="309"/>
      <c r="C39" s="310"/>
      <c r="D39" s="310"/>
      <c r="E39" s="310"/>
      <c r="F39" s="310"/>
      <c r="G39" s="310"/>
      <c r="H39" s="310"/>
      <c r="I39" s="310"/>
      <c r="J39" s="310"/>
      <c r="K39" s="310"/>
      <c r="L39" s="310"/>
      <c r="M39" s="310"/>
      <c r="N39" s="310"/>
      <c r="O39" s="310"/>
      <c r="P39" s="310"/>
      <c r="Q39" s="310"/>
      <c r="R39" s="311"/>
      <c r="S39" s="5"/>
      <c r="T39" s="5"/>
      <c r="U39" s="5"/>
      <c r="V39" s="5"/>
      <c r="W39" s="5"/>
      <c r="X39" s="5"/>
      <c r="Y39" s="5"/>
      <c r="Z39" s="5"/>
      <c r="AA39" s="5"/>
    </row>
    <row r="40" spans="1:27" x14ac:dyDescent="0.2">
      <c r="A40" s="5"/>
      <c r="B40" s="309"/>
      <c r="C40" s="310"/>
      <c r="D40" s="310"/>
      <c r="E40" s="310"/>
      <c r="F40" s="310"/>
      <c r="G40" s="310"/>
      <c r="H40" s="310"/>
      <c r="I40" s="310"/>
      <c r="J40" s="310"/>
      <c r="K40" s="310"/>
      <c r="L40" s="310"/>
      <c r="M40" s="310"/>
      <c r="N40" s="310"/>
      <c r="O40" s="310"/>
      <c r="P40" s="310"/>
      <c r="Q40" s="310"/>
      <c r="R40" s="311"/>
      <c r="S40" s="5"/>
      <c r="T40" s="5"/>
      <c r="U40" s="5"/>
      <c r="V40" s="5"/>
      <c r="W40" s="5"/>
      <c r="X40" s="5"/>
      <c r="Y40" s="5"/>
      <c r="Z40" s="5"/>
      <c r="AA40" s="5"/>
    </row>
    <row r="41" spans="1:27" x14ac:dyDescent="0.2">
      <c r="A41" s="5"/>
      <c r="B41" s="309"/>
      <c r="C41" s="310"/>
      <c r="D41" s="310"/>
      <c r="E41" s="310"/>
      <c r="F41" s="310"/>
      <c r="G41" s="310"/>
      <c r="H41" s="310"/>
      <c r="I41" s="310"/>
      <c r="J41" s="310"/>
      <c r="K41" s="310"/>
      <c r="L41" s="310"/>
      <c r="M41" s="310"/>
      <c r="N41" s="310"/>
      <c r="O41" s="310"/>
      <c r="P41" s="310"/>
      <c r="Q41" s="310"/>
      <c r="R41" s="311"/>
      <c r="S41" s="5"/>
      <c r="T41" s="5"/>
      <c r="U41" s="5"/>
      <c r="V41" s="5"/>
      <c r="W41" s="5"/>
      <c r="X41" s="5"/>
      <c r="Y41" s="5"/>
      <c r="Z41" s="5"/>
      <c r="AA41" s="5"/>
    </row>
    <row r="42" spans="1:27" x14ac:dyDescent="0.2">
      <c r="A42" s="5"/>
      <c r="B42" s="309"/>
      <c r="C42" s="310"/>
      <c r="D42" s="310"/>
      <c r="E42" s="310"/>
      <c r="F42" s="310"/>
      <c r="G42" s="310"/>
      <c r="H42" s="310"/>
      <c r="I42" s="310"/>
      <c r="J42" s="310"/>
      <c r="K42" s="310"/>
      <c r="L42" s="310"/>
      <c r="M42" s="310"/>
      <c r="N42" s="310"/>
      <c r="O42" s="310"/>
      <c r="P42" s="310"/>
      <c r="Q42" s="310"/>
      <c r="R42" s="311"/>
      <c r="S42" s="5"/>
      <c r="T42" s="5"/>
      <c r="U42" s="5"/>
      <c r="V42" s="5"/>
      <c r="W42" s="5"/>
      <c r="X42" s="5"/>
      <c r="Y42" s="5"/>
      <c r="Z42" s="5"/>
      <c r="AA42" s="5"/>
    </row>
    <row r="43" spans="1:27" ht="34.5" customHeight="1" thickBot="1" x14ac:dyDescent="0.25">
      <c r="A43" s="5"/>
      <c r="B43" s="312"/>
      <c r="C43" s="313"/>
      <c r="D43" s="313"/>
      <c r="E43" s="313"/>
      <c r="F43" s="313"/>
      <c r="G43" s="313"/>
      <c r="H43" s="313"/>
      <c r="I43" s="313"/>
      <c r="J43" s="313"/>
      <c r="K43" s="313"/>
      <c r="L43" s="313"/>
      <c r="M43" s="313"/>
      <c r="N43" s="313"/>
      <c r="O43" s="313"/>
      <c r="P43" s="313"/>
      <c r="Q43" s="313"/>
      <c r="R43" s="314"/>
      <c r="S43" s="5"/>
      <c r="T43" s="5"/>
      <c r="U43" s="5"/>
      <c r="V43" s="5"/>
      <c r="W43" s="5"/>
      <c r="X43" s="5"/>
      <c r="Y43" s="5"/>
      <c r="Z43" s="5"/>
      <c r="AA43" s="5"/>
    </row>
    <row r="44" spans="1:27" x14ac:dyDescent="0.2">
      <c r="A44" s="5"/>
      <c r="B44" s="5"/>
      <c r="F44" s="5"/>
      <c r="G44" s="5"/>
      <c r="H44" s="5"/>
      <c r="I44" s="5"/>
      <c r="J44" s="5"/>
      <c r="K44" s="5"/>
      <c r="L44" s="5"/>
      <c r="M44" s="5"/>
      <c r="N44" s="5"/>
      <c r="O44" s="5"/>
      <c r="P44" s="5"/>
      <c r="Q44" s="5"/>
      <c r="R44" s="50"/>
      <c r="S44" s="5"/>
      <c r="T44" s="5"/>
      <c r="U44" s="5"/>
      <c r="V44" s="5"/>
      <c r="W44" s="5"/>
      <c r="X44" s="5"/>
      <c r="Y44" s="5"/>
      <c r="Z44" s="5"/>
      <c r="AA44" s="5"/>
    </row>
    <row r="45" spans="1:27" x14ac:dyDescent="0.2">
      <c r="A45" s="5"/>
      <c r="B45" s="5"/>
      <c r="F45" s="5"/>
      <c r="G45" s="5"/>
      <c r="H45" s="5"/>
      <c r="I45" s="5"/>
      <c r="J45" s="5"/>
      <c r="K45" s="5"/>
      <c r="L45" s="5"/>
      <c r="M45" s="5"/>
      <c r="N45" s="5"/>
      <c r="O45" s="5"/>
      <c r="P45" s="5"/>
      <c r="Q45" s="5"/>
      <c r="R45" s="50"/>
      <c r="S45" s="5"/>
      <c r="T45" s="5"/>
      <c r="U45" s="5"/>
      <c r="V45" s="5"/>
      <c r="W45" s="5"/>
      <c r="X45" s="5"/>
      <c r="Y45" s="5"/>
      <c r="Z45" s="5"/>
      <c r="AA45" s="5"/>
    </row>
    <row r="46" spans="1:27" x14ac:dyDescent="0.2">
      <c r="A46" s="5"/>
      <c r="B46" s="5"/>
      <c r="F46" s="5"/>
      <c r="G46" s="5"/>
      <c r="H46" s="5"/>
      <c r="I46" s="5"/>
      <c r="J46" s="5"/>
      <c r="K46" s="5"/>
      <c r="L46" s="5"/>
      <c r="M46" s="5"/>
      <c r="N46" s="5"/>
      <c r="O46" s="5"/>
      <c r="P46" s="5"/>
      <c r="Q46" s="5"/>
      <c r="R46" s="50"/>
      <c r="S46" s="5"/>
      <c r="T46" s="5"/>
      <c r="U46" s="5"/>
      <c r="V46" s="5"/>
      <c r="W46" s="5"/>
      <c r="X46" s="5"/>
      <c r="Y46" s="5"/>
      <c r="Z46" s="5"/>
      <c r="AA46" s="5"/>
    </row>
    <row r="47" spans="1:27" x14ac:dyDescent="0.2">
      <c r="A47" s="5"/>
      <c r="B47" s="5"/>
      <c r="F47" s="5"/>
      <c r="G47" s="5"/>
      <c r="H47" s="5"/>
      <c r="I47" s="5"/>
      <c r="J47" s="5"/>
      <c r="K47" s="5"/>
      <c r="L47" s="5"/>
      <c r="M47" s="5"/>
      <c r="N47" s="5"/>
      <c r="O47" s="5"/>
      <c r="P47" s="5"/>
      <c r="Q47" s="5"/>
      <c r="R47" s="50"/>
      <c r="S47" s="5"/>
      <c r="T47" s="5"/>
      <c r="U47" s="5"/>
      <c r="V47" s="5"/>
      <c r="W47" s="5"/>
      <c r="X47" s="5"/>
      <c r="Y47" s="5"/>
      <c r="Z47" s="5"/>
      <c r="AA47" s="5"/>
    </row>
    <row r="48" spans="1:27" x14ac:dyDescent="0.2">
      <c r="A48" s="5"/>
      <c r="B48" s="5"/>
      <c r="F48" s="5"/>
      <c r="G48" s="5"/>
      <c r="H48" s="5"/>
      <c r="I48" s="5"/>
      <c r="J48" s="5"/>
      <c r="K48" s="5"/>
      <c r="L48" s="5"/>
      <c r="M48" s="5"/>
      <c r="N48" s="5"/>
      <c r="O48" s="5"/>
      <c r="P48" s="5"/>
      <c r="Q48" s="5"/>
      <c r="R48" s="50"/>
      <c r="S48" s="5"/>
      <c r="T48" s="5"/>
      <c r="U48" s="5"/>
      <c r="V48" s="5"/>
      <c r="W48" s="5"/>
      <c r="X48" s="5"/>
      <c r="Y48" s="5"/>
      <c r="Z48" s="5"/>
      <c r="AA48" s="5"/>
    </row>
    <row r="49" spans="1:27" x14ac:dyDescent="0.2">
      <c r="A49" s="5"/>
      <c r="B49" s="5"/>
      <c r="F49" s="5"/>
      <c r="G49" s="5"/>
      <c r="H49" s="5"/>
      <c r="I49" s="5"/>
      <c r="J49" s="5"/>
      <c r="K49" s="5"/>
      <c r="L49" s="5"/>
      <c r="M49" s="5"/>
      <c r="N49" s="5"/>
      <c r="O49" s="5"/>
      <c r="P49" s="5"/>
      <c r="Q49" s="5"/>
      <c r="R49" s="50"/>
      <c r="S49" s="5"/>
      <c r="T49" s="5"/>
      <c r="U49" s="5"/>
      <c r="V49" s="5"/>
      <c r="W49" s="5"/>
      <c r="X49" s="5"/>
      <c r="Y49" s="5"/>
      <c r="Z49" s="5"/>
      <c r="AA49" s="5"/>
    </row>
    <row r="50" spans="1:27" x14ac:dyDescent="0.2">
      <c r="A50" s="5"/>
      <c r="B50" s="5"/>
      <c r="F50" s="5"/>
      <c r="G50" s="5"/>
      <c r="H50" s="5"/>
      <c r="I50" s="5"/>
      <c r="J50" s="5"/>
      <c r="K50" s="5"/>
      <c r="L50" s="5"/>
      <c r="M50" s="5"/>
      <c r="N50" s="5"/>
      <c r="O50" s="5"/>
      <c r="P50" s="5"/>
      <c r="Q50" s="5"/>
      <c r="R50" s="50"/>
      <c r="S50" s="5"/>
      <c r="T50" s="5"/>
      <c r="U50" s="5"/>
      <c r="V50" s="5"/>
      <c r="W50" s="5"/>
      <c r="X50" s="5"/>
      <c r="Y50" s="5"/>
      <c r="Z50" s="5"/>
      <c r="AA50" s="5"/>
    </row>
    <row r="51" spans="1:27" x14ac:dyDescent="0.2">
      <c r="A51" s="5"/>
      <c r="B51" s="5"/>
      <c r="F51" s="5"/>
      <c r="G51" s="5"/>
      <c r="H51" s="5"/>
      <c r="I51" s="5"/>
      <c r="J51" s="5"/>
      <c r="K51" s="5"/>
      <c r="L51" s="5"/>
      <c r="M51" s="5"/>
      <c r="N51" s="5"/>
      <c r="O51" s="5"/>
      <c r="P51" s="5"/>
      <c r="Q51" s="5"/>
      <c r="R51" s="50"/>
      <c r="S51" s="5"/>
      <c r="T51" s="5"/>
      <c r="U51" s="5"/>
      <c r="V51" s="5"/>
      <c r="W51" s="5"/>
      <c r="X51" s="5"/>
      <c r="Y51" s="5"/>
      <c r="Z51" s="5"/>
      <c r="AA51" s="5"/>
    </row>
    <row r="52" spans="1:27" x14ac:dyDescent="0.2">
      <c r="A52" s="5"/>
      <c r="B52" s="5"/>
      <c r="F52" s="5"/>
      <c r="G52" s="5"/>
      <c r="H52" s="5"/>
      <c r="I52" s="5"/>
      <c r="J52" s="5"/>
      <c r="K52" s="5"/>
      <c r="L52" s="5"/>
      <c r="M52" s="5"/>
      <c r="N52" s="5"/>
      <c r="O52" s="5"/>
      <c r="P52" s="5"/>
      <c r="Q52" s="5"/>
      <c r="R52" s="50"/>
      <c r="S52" s="5"/>
      <c r="T52" s="5"/>
      <c r="U52" s="5"/>
      <c r="V52" s="5"/>
      <c r="W52" s="5"/>
      <c r="X52" s="5"/>
      <c r="Y52" s="5"/>
      <c r="Z52" s="5"/>
      <c r="AA52" s="5"/>
    </row>
    <row r="53" spans="1:27" x14ac:dyDescent="0.2">
      <c r="A53" s="5"/>
      <c r="B53" s="5"/>
      <c r="F53" s="5"/>
      <c r="G53" s="5"/>
      <c r="H53" s="5"/>
      <c r="I53" s="5"/>
      <c r="J53" s="5"/>
      <c r="K53" s="5"/>
      <c r="L53" s="5"/>
      <c r="M53" s="5"/>
      <c r="N53" s="5"/>
      <c r="O53" s="5"/>
      <c r="P53" s="5"/>
      <c r="Q53" s="5"/>
      <c r="R53" s="5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0"/>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0"/>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0"/>
      <c r="S99" s="5"/>
      <c r="T99" s="5"/>
      <c r="U99" s="5"/>
      <c r="V99" s="5"/>
      <c r="W99" s="5"/>
      <c r="X99" s="5"/>
      <c r="Y99" s="5"/>
      <c r="Z99" s="5"/>
      <c r="AA99" s="5"/>
    </row>
    <row r="100" spans="1:27" x14ac:dyDescent="0.2">
      <c r="A100" s="5"/>
      <c r="B100" s="5"/>
      <c r="C100" s="5"/>
      <c r="D100" s="5"/>
      <c r="E100" s="5"/>
      <c r="F100" s="5"/>
      <c r="G100" s="5"/>
      <c r="H100" s="5"/>
      <c r="I100" s="5"/>
      <c r="J100" s="5"/>
      <c r="K100" s="5"/>
      <c r="L100" s="5"/>
      <c r="M100" s="5"/>
      <c r="N100" s="5"/>
      <c r="O100" s="5"/>
      <c r="P100" s="5"/>
      <c r="Q100" s="5"/>
      <c r="R100" s="50"/>
      <c r="S100" s="5"/>
      <c r="T100" s="5"/>
      <c r="U100" s="5"/>
      <c r="V100" s="5"/>
      <c r="W100" s="5"/>
      <c r="X100" s="5"/>
      <c r="Y100" s="5"/>
      <c r="Z100" s="5"/>
      <c r="AA100" s="5"/>
    </row>
    <row r="101" spans="1:27" x14ac:dyDescent="0.2">
      <c r="A101" s="5"/>
      <c r="B101" s="5"/>
      <c r="C101" s="5"/>
      <c r="D101" s="5"/>
      <c r="E101" s="5"/>
      <c r="F101" s="5"/>
      <c r="G101" s="5"/>
      <c r="H101" s="5"/>
      <c r="I101" s="5"/>
      <c r="J101" s="5"/>
      <c r="K101" s="5"/>
      <c r="L101" s="5"/>
      <c r="M101" s="5"/>
      <c r="N101" s="5"/>
      <c r="O101" s="5"/>
      <c r="P101" s="5"/>
      <c r="Q101" s="5"/>
      <c r="R101" s="50"/>
      <c r="S101" s="5"/>
      <c r="T101" s="5"/>
      <c r="U101" s="5"/>
      <c r="V101" s="5"/>
      <c r="W101" s="5"/>
      <c r="X101" s="5"/>
      <c r="Y101" s="5"/>
      <c r="Z101" s="5"/>
      <c r="AA101" s="5"/>
    </row>
    <row r="102" spans="1:27" x14ac:dyDescent="0.2">
      <c r="A102" s="5"/>
      <c r="B102" s="5"/>
      <c r="C102" s="5"/>
      <c r="D102" s="5"/>
      <c r="E102" s="5"/>
      <c r="F102" s="5"/>
      <c r="G102" s="5"/>
      <c r="H102" s="5"/>
      <c r="I102" s="5"/>
      <c r="J102" s="5"/>
      <c r="K102" s="5"/>
      <c r="L102" s="5"/>
      <c r="M102" s="5"/>
      <c r="N102" s="5"/>
      <c r="O102" s="5"/>
      <c r="P102" s="5"/>
      <c r="Q102" s="5"/>
      <c r="R102" s="50"/>
      <c r="S102" s="5"/>
      <c r="T102" s="5"/>
      <c r="U102" s="5"/>
      <c r="V102" s="5"/>
      <c r="W102" s="5"/>
      <c r="X102" s="5"/>
      <c r="Y102" s="5"/>
      <c r="Z102" s="5"/>
      <c r="AA102" s="5"/>
    </row>
    <row r="103" spans="1:27" x14ac:dyDescent="0.2">
      <c r="A103" s="5"/>
      <c r="B103" s="5"/>
      <c r="C103" s="5"/>
      <c r="D103" s="5"/>
      <c r="E103" s="5"/>
      <c r="F103" s="5"/>
      <c r="G103" s="5"/>
      <c r="H103" s="5"/>
      <c r="I103" s="5"/>
      <c r="J103" s="5"/>
      <c r="K103" s="5"/>
      <c r="L103" s="5"/>
      <c r="M103" s="5"/>
      <c r="N103" s="5"/>
      <c r="O103" s="5"/>
      <c r="P103" s="5"/>
      <c r="Q103" s="5"/>
      <c r="R103" s="50"/>
      <c r="S103" s="5"/>
      <c r="T103" s="5"/>
      <c r="U103" s="5"/>
      <c r="V103" s="5"/>
      <c r="W103" s="5"/>
      <c r="X103" s="5"/>
      <c r="Y103" s="5"/>
      <c r="Z103" s="5"/>
      <c r="AA103" s="5"/>
    </row>
    <row r="104" spans="1:27" x14ac:dyDescent="0.2">
      <c r="A104" s="5"/>
      <c r="B104" s="5"/>
      <c r="C104" s="5"/>
      <c r="D104" s="5"/>
      <c r="E104" s="5"/>
      <c r="F104" s="5"/>
      <c r="G104" s="5"/>
      <c r="H104" s="5"/>
      <c r="I104" s="5"/>
      <c r="J104" s="5"/>
      <c r="K104" s="5"/>
      <c r="L104" s="5"/>
      <c r="M104" s="5"/>
      <c r="N104" s="5"/>
      <c r="O104" s="5"/>
      <c r="P104" s="5"/>
      <c r="Q104" s="5"/>
      <c r="R104" s="50"/>
      <c r="S104" s="5"/>
      <c r="T104" s="5"/>
      <c r="U104" s="5"/>
      <c r="V104" s="5"/>
      <c r="W104" s="5"/>
      <c r="X104" s="5"/>
      <c r="Y104" s="5"/>
      <c r="Z104" s="5"/>
      <c r="AA104" s="5"/>
    </row>
    <row r="105" spans="1:27" x14ac:dyDescent="0.2">
      <c r="A105" s="5"/>
      <c r="B105" s="5"/>
      <c r="C105" s="5"/>
      <c r="D105" s="5"/>
      <c r="E105" s="5"/>
      <c r="F105" s="5"/>
      <c r="G105" s="5"/>
      <c r="H105" s="5"/>
      <c r="I105" s="5"/>
      <c r="J105" s="5"/>
      <c r="K105" s="5"/>
      <c r="L105" s="5"/>
      <c r="M105" s="5"/>
      <c r="N105" s="5"/>
      <c r="O105" s="5"/>
      <c r="P105" s="5"/>
      <c r="Q105" s="5"/>
      <c r="R105" s="50"/>
      <c r="S105" s="5"/>
      <c r="T105" s="5"/>
      <c r="U105" s="5"/>
      <c r="V105" s="5"/>
      <c r="W105" s="5"/>
      <c r="X105" s="5"/>
      <c r="Y105" s="5"/>
      <c r="Z105" s="5"/>
      <c r="AA105" s="5"/>
    </row>
    <row r="106" spans="1:27" x14ac:dyDescent="0.2">
      <c r="B106" s="5"/>
      <c r="C106" s="5"/>
      <c r="D106" s="5"/>
      <c r="E106" s="5"/>
      <c r="F106" s="5"/>
      <c r="G106" s="5"/>
      <c r="H106" s="5"/>
      <c r="I106" s="5"/>
      <c r="J106" s="5"/>
      <c r="K106" s="5"/>
      <c r="L106" s="5"/>
      <c r="M106" s="5"/>
      <c r="N106" s="5"/>
      <c r="O106" s="5"/>
      <c r="P106" s="5"/>
      <c r="Q106" s="5"/>
      <c r="R106" s="49"/>
    </row>
    <row r="107" spans="1:27" x14ac:dyDescent="0.2">
      <c r="B107" s="5"/>
      <c r="C107" s="5"/>
      <c r="D107" s="5"/>
      <c r="E107" s="5"/>
      <c r="F107" s="5"/>
      <c r="G107" s="5"/>
      <c r="H107" s="5"/>
      <c r="I107" s="5"/>
      <c r="J107" s="5"/>
      <c r="K107" s="5"/>
      <c r="L107" s="5"/>
      <c r="M107" s="5"/>
      <c r="N107" s="5"/>
      <c r="O107" s="5"/>
      <c r="P107" s="5"/>
      <c r="Q107" s="5"/>
      <c r="R107" s="49"/>
    </row>
    <row r="108" spans="1:27" x14ac:dyDescent="0.2">
      <c r="B108" s="5"/>
      <c r="C108" s="5"/>
      <c r="D108" s="5"/>
      <c r="E108" s="5"/>
      <c r="F108" s="5"/>
      <c r="G108" s="5"/>
      <c r="H108" s="5"/>
      <c r="I108" s="5"/>
      <c r="J108" s="5"/>
      <c r="K108" s="5"/>
      <c r="L108" s="5"/>
      <c r="M108" s="5"/>
      <c r="N108" s="5"/>
      <c r="O108" s="5"/>
      <c r="P108" s="5"/>
      <c r="Q108" s="5"/>
      <c r="R108" s="49"/>
    </row>
    <row r="109" spans="1:27" x14ac:dyDescent="0.2">
      <c r="B109" s="5"/>
      <c r="C109" s="5"/>
      <c r="D109" s="5"/>
      <c r="E109" s="5"/>
      <c r="F109" s="5"/>
      <c r="G109" s="5"/>
      <c r="H109" s="5"/>
      <c r="I109" s="5"/>
      <c r="J109" s="5"/>
      <c r="K109" s="5"/>
      <c r="L109" s="5"/>
      <c r="M109" s="5"/>
      <c r="N109" s="5"/>
      <c r="O109" s="5"/>
      <c r="P109" s="5"/>
      <c r="Q109" s="5"/>
      <c r="R109" s="49"/>
    </row>
    <row r="110" spans="1:27" x14ac:dyDescent="0.2">
      <c r="R110" s="49"/>
    </row>
    <row r="111" spans="1:27" x14ac:dyDescent="0.2">
      <c r="R111" s="49"/>
    </row>
    <row r="112" spans="1:27"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row r="671" spans="18:18" x14ac:dyDescent="0.2">
      <c r="R671" s="49"/>
    </row>
    <row r="672" spans="18:18" x14ac:dyDescent="0.2">
      <c r="R672" s="49"/>
    </row>
    <row r="673" spans="18:18" x14ac:dyDescent="0.2">
      <c r="R673" s="49"/>
    </row>
    <row r="674" spans="18:18" x14ac:dyDescent="0.2">
      <c r="R674" s="49"/>
    </row>
    <row r="675" spans="18:18" x14ac:dyDescent="0.2">
      <c r="R675" s="49"/>
    </row>
    <row r="676" spans="18:18" x14ac:dyDescent="0.2">
      <c r="R676" s="49"/>
    </row>
    <row r="677" spans="18:18" x14ac:dyDescent="0.2">
      <c r="R677" s="49"/>
    </row>
    <row r="678" spans="18:18" x14ac:dyDescent="0.2">
      <c r="R678" s="49"/>
    </row>
    <row r="679" spans="18:18" x14ac:dyDescent="0.2">
      <c r="R679" s="49"/>
    </row>
    <row r="680" spans="18:18" x14ac:dyDescent="0.2">
      <c r="R680" s="49"/>
    </row>
    <row r="681" spans="18:18" x14ac:dyDescent="0.2">
      <c r="R681" s="49"/>
    </row>
    <row r="682" spans="18:18" x14ac:dyDescent="0.2">
      <c r="R682" s="49"/>
    </row>
    <row r="683" spans="18:18" x14ac:dyDescent="0.2">
      <c r="R683" s="49"/>
    </row>
    <row r="684" spans="18:18" x14ac:dyDescent="0.2">
      <c r="R684" s="49"/>
    </row>
    <row r="685" spans="18:18" x14ac:dyDescent="0.2">
      <c r="R685" s="49"/>
    </row>
    <row r="686" spans="18:18" x14ac:dyDescent="0.2">
      <c r="R686" s="49"/>
    </row>
    <row r="687" spans="18:18" x14ac:dyDescent="0.2">
      <c r="R687" s="49"/>
    </row>
    <row r="688" spans="18:18" x14ac:dyDescent="0.2">
      <c r="R688" s="49"/>
    </row>
    <row r="689" spans="18:18" x14ac:dyDescent="0.2">
      <c r="R689" s="49"/>
    </row>
    <row r="690" spans="18:18" x14ac:dyDescent="0.2">
      <c r="R690" s="49"/>
    </row>
    <row r="691" spans="18:18" x14ac:dyDescent="0.2">
      <c r="R691" s="49"/>
    </row>
    <row r="692" spans="18:18" x14ac:dyDescent="0.2">
      <c r="R692" s="49"/>
    </row>
    <row r="693" spans="18:18" x14ac:dyDescent="0.2">
      <c r="R693" s="49"/>
    </row>
    <row r="694" spans="18:18" x14ac:dyDescent="0.2">
      <c r="R694" s="49"/>
    </row>
    <row r="695" spans="18:18" x14ac:dyDescent="0.2">
      <c r="R695" s="49"/>
    </row>
    <row r="696" spans="18:18" x14ac:dyDescent="0.2">
      <c r="R696" s="49"/>
    </row>
    <row r="697" spans="18:18" x14ac:dyDescent="0.2">
      <c r="R697" s="49"/>
    </row>
    <row r="698" spans="18:18" x14ac:dyDescent="0.2">
      <c r="R698" s="49"/>
    </row>
    <row r="699" spans="18:18" x14ac:dyDescent="0.2">
      <c r="R699" s="49"/>
    </row>
    <row r="700" spans="18:18" x14ac:dyDescent="0.2">
      <c r="R700" s="49"/>
    </row>
    <row r="701" spans="18:18" x14ac:dyDescent="0.2">
      <c r="R701" s="49"/>
    </row>
    <row r="702" spans="18:18" x14ac:dyDescent="0.2">
      <c r="R702" s="49"/>
    </row>
    <row r="703" spans="18:18" x14ac:dyDescent="0.2">
      <c r="R703" s="49"/>
    </row>
    <row r="704" spans="18:18" x14ac:dyDescent="0.2">
      <c r="R704" s="49"/>
    </row>
    <row r="705" spans="18:18" x14ac:dyDescent="0.2">
      <c r="R705" s="49"/>
    </row>
    <row r="706" spans="18:18" x14ac:dyDescent="0.2">
      <c r="R706" s="49"/>
    </row>
    <row r="707" spans="18:18" x14ac:dyDescent="0.2">
      <c r="R707" s="49"/>
    </row>
    <row r="708" spans="18:18" x14ac:dyDescent="0.2">
      <c r="R708" s="49"/>
    </row>
    <row r="709" spans="18:18" x14ac:dyDescent="0.2">
      <c r="R709" s="49"/>
    </row>
    <row r="710" spans="18:18" x14ac:dyDescent="0.2">
      <c r="R710" s="49"/>
    </row>
    <row r="711" spans="18:18" x14ac:dyDescent="0.2">
      <c r="R711" s="49"/>
    </row>
    <row r="712" spans="18:18" x14ac:dyDescent="0.2">
      <c r="R712" s="49"/>
    </row>
    <row r="713" spans="18:18" x14ac:dyDescent="0.2">
      <c r="R713" s="49"/>
    </row>
    <row r="714" spans="18:18" x14ac:dyDescent="0.2">
      <c r="R714" s="49"/>
    </row>
    <row r="715" spans="18:18" x14ac:dyDescent="0.2">
      <c r="R715" s="49"/>
    </row>
    <row r="716" spans="18:18" x14ac:dyDescent="0.2">
      <c r="R716" s="49"/>
    </row>
    <row r="717" spans="18:18" x14ac:dyDescent="0.2">
      <c r="R717" s="49"/>
    </row>
    <row r="718" spans="18:18" x14ac:dyDescent="0.2">
      <c r="R718" s="49"/>
    </row>
    <row r="719" spans="18:18" x14ac:dyDescent="0.2">
      <c r="R719" s="49"/>
    </row>
    <row r="720" spans="18:18" x14ac:dyDescent="0.2">
      <c r="R720" s="49"/>
    </row>
    <row r="721" spans="18:18" x14ac:dyDescent="0.2">
      <c r="R721" s="49"/>
    </row>
    <row r="722" spans="18:18" x14ac:dyDescent="0.2">
      <c r="R722" s="49"/>
    </row>
    <row r="723" spans="18:18" x14ac:dyDescent="0.2">
      <c r="R723" s="49"/>
    </row>
    <row r="724" spans="18:18" x14ac:dyDescent="0.2">
      <c r="R724" s="49"/>
    </row>
    <row r="725" spans="18:18" x14ac:dyDescent="0.2">
      <c r="R725" s="49"/>
    </row>
    <row r="726" spans="18:18" x14ac:dyDescent="0.2">
      <c r="R726" s="49"/>
    </row>
    <row r="727" spans="18:18" x14ac:dyDescent="0.2">
      <c r="R727" s="49"/>
    </row>
    <row r="728" spans="18:18" x14ac:dyDescent="0.2">
      <c r="R728" s="49"/>
    </row>
    <row r="729" spans="18:18" x14ac:dyDescent="0.2">
      <c r="R729" s="49"/>
    </row>
    <row r="730" spans="18:18" x14ac:dyDescent="0.2">
      <c r="R730" s="49"/>
    </row>
    <row r="731" spans="18:18" x14ac:dyDescent="0.2">
      <c r="R731" s="49"/>
    </row>
    <row r="732" spans="18:18" x14ac:dyDescent="0.2">
      <c r="R732" s="49"/>
    </row>
    <row r="733" spans="18:18" x14ac:dyDescent="0.2">
      <c r="R733" s="49"/>
    </row>
    <row r="734" spans="18:18" x14ac:dyDescent="0.2">
      <c r="R734" s="49"/>
    </row>
    <row r="735" spans="18:18" x14ac:dyDescent="0.2">
      <c r="R735" s="49"/>
    </row>
    <row r="736" spans="18:18" x14ac:dyDescent="0.2">
      <c r="R736" s="49"/>
    </row>
    <row r="737" spans="18:18" x14ac:dyDescent="0.2">
      <c r="R737" s="49"/>
    </row>
    <row r="738" spans="18:18" x14ac:dyDescent="0.2">
      <c r="R738" s="49"/>
    </row>
    <row r="739" spans="18:18" x14ac:dyDescent="0.2">
      <c r="R739" s="49"/>
    </row>
    <row r="740" spans="18:18" x14ac:dyDescent="0.2">
      <c r="R740" s="49"/>
    </row>
    <row r="741" spans="18:18" x14ac:dyDescent="0.2">
      <c r="R741" s="49"/>
    </row>
    <row r="742" spans="18:18" x14ac:dyDescent="0.2">
      <c r="R742" s="49"/>
    </row>
    <row r="743" spans="18:18" x14ac:dyDescent="0.2">
      <c r="R743" s="49"/>
    </row>
    <row r="744" spans="18:18" x14ac:dyDescent="0.2">
      <c r="R744" s="49"/>
    </row>
    <row r="745" spans="18:18" x14ac:dyDescent="0.2">
      <c r="R745" s="49"/>
    </row>
    <row r="746" spans="18:18" x14ac:dyDescent="0.2">
      <c r="R746" s="49"/>
    </row>
    <row r="747" spans="18:18" x14ac:dyDescent="0.2">
      <c r="R747" s="49"/>
    </row>
    <row r="748" spans="18:18" x14ac:dyDescent="0.2">
      <c r="R748" s="49"/>
    </row>
    <row r="749" spans="18:18" x14ac:dyDescent="0.2">
      <c r="R749" s="49"/>
    </row>
    <row r="750" spans="18:18" x14ac:dyDescent="0.2">
      <c r="R750" s="49"/>
    </row>
    <row r="751" spans="18:18" x14ac:dyDescent="0.2">
      <c r="R751" s="49"/>
    </row>
    <row r="752" spans="18:18" x14ac:dyDescent="0.2">
      <c r="R752" s="49"/>
    </row>
    <row r="753" spans="18:18" x14ac:dyDescent="0.2">
      <c r="R753" s="49"/>
    </row>
    <row r="754" spans="18:18" x14ac:dyDescent="0.2">
      <c r="R754" s="49"/>
    </row>
    <row r="755" spans="18:18" x14ac:dyDescent="0.2">
      <c r="R755" s="49"/>
    </row>
    <row r="756" spans="18:18" x14ac:dyDescent="0.2">
      <c r="R756" s="49"/>
    </row>
    <row r="757" spans="18:18" x14ac:dyDescent="0.2">
      <c r="R757" s="49"/>
    </row>
    <row r="758" spans="18:18" x14ac:dyDescent="0.2">
      <c r="R758" s="49"/>
    </row>
    <row r="759" spans="18:18" x14ac:dyDescent="0.2">
      <c r="R759" s="49"/>
    </row>
    <row r="760" spans="18:18" x14ac:dyDescent="0.2">
      <c r="R760" s="49"/>
    </row>
    <row r="761" spans="18:18" x14ac:dyDescent="0.2">
      <c r="R761" s="49"/>
    </row>
    <row r="762" spans="18:18" x14ac:dyDescent="0.2">
      <c r="R762" s="49"/>
    </row>
    <row r="763" spans="18:18" x14ac:dyDescent="0.2">
      <c r="R763" s="49"/>
    </row>
    <row r="764" spans="18:18" x14ac:dyDescent="0.2">
      <c r="R764" s="49"/>
    </row>
    <row r="765" spans="18:18" x14ac:dyDescent="0.2">
      <c r="R765" s="49"/>
    </row>
    <row r="766" spans="18:18" x14ac:dyDescent="0.2">
      <c r="R766" s="49"/>
    </row>
    <row r="767" spans="18:18" x14ac:dyDescent="0.2">
      <c r="R767" s="49"/>
    </row>
    <row r="768" spans="18:18" x14ac:dyDescent="0.2">
      <c r="R768" s="49"/>
    </row>
    <row r="769" spans="18:18" x14ac:dyDescent="0.2">
      <c r="R769" s="49"/>
    </row>
    <row r="770" spans="18:18" x14ac:dyDescent="0.2">
      <c r="R770" s="49"/>
    </row>
    <row r="771" spans="18:18" x14ac:dyDescent="0.2">
      <c r="R771" s="49"/>
    </row>
    <row r="772" spans="18:18" x14ac:dyDescent="0.2">
      <c r="R772" s="49"/>
    </row>
    <row r="773" spans="18:18" x14ac:dyDescent="0.2">
      <c r="R773" s="49"/>
    </row>
    <row r="774" spans="18:18" x14ac:dyDescent="0.2">
      <c r="R774" s="49"/>
    </row>
    <row r="775" spans="18:18" x14ac:dyDescent="0.2">
      <c r="R775" s="49"/>
    </row>
    <row r="776" spans="18:18" x14ac:dyDescent="0.2">
      <c r="R776" s="49"/>
    </row>
    <row r="777" spans="18:18" x14ac:dyDescent="0.2">
      <c r="R777" s="49"/>
    </row>
    <row r="778" spans="18:18" x14ac:dyDescent="0.2">
      <c r="R778" s="49"/>
    </row>
    <row r="779" spans="18:18" x14ac:dyDescent="0.2">
      <c r="R779" s="49"/>
    </row>
    <row r="780" spans="18:18" x14ac:dyDescent="0.2">
      <c r="R780" s="49"/>
    </row>
    <row r="781" spans="18:18" x14ac:dyDescent="0.2">
      <c r="R781" s="49"/>
    </row>
    <row r="782" spans="18:18" x14ac:dyDescent="0.2">
      <c r="R782" s="49"/>
    </row>
    <row r="783" spans="18:18" x14ac:dyDescent="0.2">
      <c r="R783" s="49"/>
    </row>
    <row r="784" spans="18:18" x14ac:dyDescent="0.2">
      <c r="R784" s="49"/>
    </row>
    <row r="785" spans="18:18" x14ac:dyDescent="0.2">
      <c r="R785" s="49"/>
    </row>
    <row r="786" spans="18:18" x14ac:dyDescent="0.2">
      <c r="R786" s="49"/>
    </row>
    <row r="787" spans="18:18" x14ac:dyDescent="0.2">
      <c r="R787" s="49"/>
    </row>
    <row r="788" spans="18:18" x14ac:dyDescent="0.2">
      <c r="R788" s="49"/>
    </row>
    <row r="789" spans="18:18" x14ac:dyDescent="0.2">
      <c r="R789" s="49"/>
    </row>
    <row r="790" spans="18:18" x14ac:dyDescent="0.2">
      <c r="R790" s="49"/>
    </row>
    <row r="791" spans="18:18" x14ac:dyDescent="0.2">
      <c r="R791" s="49"/>
    </row>
    <row r="792" spans="18:18" x14ac:dyDescent="0.2">
      <c r="R792" s="49"/>
    </row>
    <row r="793" spans="18:18" x14ac:dyDescent="0.2">
      <c r="R793" s="49"/>
    </row>
    <row r="794" spans="18:18" x14ac:dyDescent="0.2">
      <c r="R794" s="49"/>
    </row>
    <row r="795" spans="18:18" x14ac:dyDescent="0.2">
      <c r="R795" s="49"/>
    </row>
    <row r="796" spans="18:18" x14ac:dyDescent="0.2">
      <c r="R796" s="49"/>
    </row>
    <row r="797" spans="18:18" x14ac:dyDescent="0.2">
      <c r="R797" s="49"/>
    </row>
    <row r="798" spans="18:18" x14ac:dyDescent="0.2">
      <c r="R798" s="49"/>
    </row>
    <row r="799" spans="18:18" x14ac:dyDescent="0.2">
      <c r="R799" s="49"/>
    </row>
    <row r="800" spans="18:18" x14ac:dyDescent="0.2">
      <c r="R800" s="49"/>
    </row>
    <row r="801" spans="18:18" x14ac:dyDescent="0.2">
      <c r="R801" s="49"/>
    </row>
    <row r="802" spans="18:18" x14ac:dyDescent="0.2">
      <c r="R802" s="49"/>
    </row>
    <row r="803" spans="18:18" x14ac:dyDescent="0.2">
      <c r="R803" s="49"/>
    </row>
    <row r="804" spans="18:18" x14ac:dyDescent="0.2">
      <c r="R804" s="49"/>
    </row>
    <row r="805" spans="18:18" x14ac:dyDescent="0.2">
      <c r="R805" s="49"/>
    </row>
    <row r="806" spans="18:18" x14ac:dyDescent="0.2">
      <c r="R806" s="49"/>
    </row>
    <row r="807" spans="18:18" x14ac:dyDescent="0.2">
      <c r="R807" s="49"/>
    </row>
    <row r="808" spans="18:18" x14ac:dyDescent="0.2">
      <c r="R808" s="49"/>
    </row>
    <row r="809" spans="18:18" x14ac:dyDescent="0.2">
      <c r="R809" s="49"/>
    </row>
    <row r="810" spans="18:18" x14ac:dyDescent="0.2">
      <c r="R810" s="49"/>
    </row>
    <row r="811" spans="18:18" x14ac:dyDescent="0.2">
      <c r="R811" s="49"/>
    </row>
    <row r="812" spans="18:18" x14ac:dyDescent="0.2">
      <c r="R812" s="49"/>
    </row>
    <row r="813" spans="18:18" x14ac:dyDescent="0.2">
      <c r="R813" s="49"/>
    </row>
    <row r="814" spans="18:18" x14ac:dyDescent="0.2">
      <c r="R814" s="49"/>
    </row>
    <row r="815" spans="18:18" x14ac:dyDescent="0.2">
      <c r="R815" s="49"/>
    </row>
    <row r="816" spans="18:18" x14ac:dyDescent="0.2">
      <c r="R816" s="49"/>
    </row>
    <row r="817" spans="18:18" x14ac:dyDescent="0.2">
      <c r="R817" s="49"/>
    </row>
    <row r="818" spans="18:18" x14ac:dyDescent="0.2">
      <c r="R818" s="49"/>
    </row>
    <row r="819" spans="18:18" x14ac:dyDescent="0.2">
      <c r="R819" s="49"/>
    </row>
    <row r="820" spans="18:18" x14ac:dyDescent="0.2">
      <c r="R820" s="49"/>
    </row>
    <row r="821" spans="18:18" x14ac:dyDescent="0.2">
      <c r="R821" s="49"/>
    </row>
    <row r="822" spans="18:18" x14ac:dyDescent="0.2">
      <c r="R822" s="49"/>
    </row>
    <row r="823" spans="18:18" x14ac:dyDescent="0.2">
      <c r="R823" s="49"/>
    </row>
    <row r="824" spans="18:18" x14ac:dyDescent="0.2">
      <c r="R824" s="49"/>
    </row>
    <row r="825" spans="18:18" x14ac:dyDescent="0.2">
      <c r="R825" s="49"/>
    </row>
    <row r="826" spans="18:18" x14ac:dyDescent="0.2">
      <c r="R826" s="49"/>
    </row>
    <row r="827" spans="18:18" x14ac:dyDescent="0.2">
      <c r="R827" s="49"/>
    </row>
    <row r="828" spans="18:18" x14ac:dyDescent="0.2">
      <c r="R828" s="49"/>
    </row>
    <row r="829" spans="18:18" x14ac:dyDescent="0.2">
      <c r="R829" s="49"/>
    </row>
    <row r="830" spans="18:18" x14ac:dyDescent="0.2">
      <c r="R830" s="49"/>
    </row>
    <row r="831" spans="18:18" x14ac:dyDescent="0.2">
      <c r="R831" s="49"/>
    </row>
    <row r="832" spans="18:18" x14ac:dyDescent="0.2">
      <c r="R832" s="49"/>
    </row>
    <row r="833" spans="18:18" x14ac:dyDescent="0.2">
      <c r="R833" s="49"/>
    </row>
    <row r="834" spans="18:18" x14ac:dyDescent="0.2">
      <c r="R834" s="49"/>
    </row>
    <row r="835" spans="18:18" x14ac:dyDescent="0.2">
      <c r="R835" s="49"/>
    </row>
    <row r="836" spans="18:18" x14ac:dyDescent="0.2">
      <c r="R836" s="49"/>
    </row>
    <row r="837" spans="18:18" x14ac:dyDescent="0.2">
      <c r="R837" s="49"/>
    </row>
    <row r="838" spans="18:18" x14ac:dyDescent="0.2">
      <c r="R838" s="49"/>
    </row>
    <row r="839" spans="18:18" x14ac:dyDescent="0.2">
      <c r="R839" s="49"/>
    </row>
    <row r="840" spans="18:18" x14ac:dyDescent="0.2">
      <c r="R840" s="49"/>
    </row>
    <row r="841" spans="18:18" x14ac:dyDescent="0.2">
      <c r="R841" s="49"/>
    </row>
    <row r="842" spans="18:18" x14ac:dyDescent="0.2">
      <c r="R842" s="49"/>
    </row>
    <row r="843" spans="18:18" x14ac:dyDescent="0.2">
      <c r="R843" s="49"/>
    </row>
    <row r="844" spans="18:18" x14ac:dyDescent="0.2">
      <c r="R844" s="49"/>
    </row>
    <row r="845" spans="18:18" x14ac:dyDescent="0.2">
      <c r="R845" s="49"/>
    </row>
    <row r="846" spans="18:18" x14ac:dyDescent="0.2">
      <c r="R846" s="49"/>
    </row>
    <row r="847" spans="18:18" x14ac:dyDescent="0.2">
      <c r="R847" s="49"/>
    </row>
    <row r="848" spans="18:18" x14ac:dyDescent="0.2">
      <c r="R848" s="49"/>
    </row>
    <row r="849" spans="18:18" x14ac:dyDescent="0.2">
      <c r="R849" s="49"/>
    </row>
    <row r="850" spans="18:18" x14ac:dyDescent="0.2">
      <c r="R850" s="49"/>
    </row>
    <row r="851" spans="18:18" x14ac:dyDescent="0.2">
      <c r="R851" s="49"/>
    </row>
    <row r="852" spans="18:18" x14ac:dyDescent="0.2">
      <c r="R852" s="49"/>
    </row>
    <row r="853" spans="18:18" x14ac:dyDescent="0.2">
      <c r="R853" s="49"/>
    </row>
    <row r="854" spans="18:18" x14ac:dyDescent="0.2">
      <c r="R854" s="49"/>
    </row>
    <row r="855" spans="18:18" x14ac:dyDescent="0.2">
      <c r="R855" s="49"/>
    </row>
    <row r="856" spans="18:18" x14ac:dyDescent="0.2">
      <c r="R856" s="49"/>
    </row>
    <row r="857" spans="18:18" x14ac:dyDescent="0.2">
      <c r="R857" s="49"/>
    </row>
    <row r="858" spans="18:18" x14ac:dyDescent="0.2">
      <c r="R858" s="49"/>
    </row>
    <row r="859" spans="18:18" x14ac:dyDescent="0.2">
      <c r="R859" s="49"/>
    </row>
    <row r="860" spans="18:18" x14ac:dyDescent="0.2">
      <c r="R860" s="49"/>
    </row>
    <row r="861" spans="18:18" x14ac:dyDescent="0.2">
      <c r="R861" s="49"/>
    </row>
    <row r="862" spans="18:18" x14ac:dyDescent="0.2">
      <c r="R862" s="49"/>
    </row>
    <row r="863" spans="18:18" x14ac:dyDescent="0.2">
      <c r="R863" s="49"/>
    </row>
    <row r="864" spans="18:18" x14ac:dyDescent="0.2">
      <c r="R864" s="49"/>
    </row>
    <row r="865" spans="18:18" x14ac:dyDescent="0.2">
      <c r="R865" s="49"/>
    </row>
    <row r="866" spans="18:18" x14ac:dyDescent="0.2">
      <c r="R866" s="49"/>
    </row>
    <row r="867" spans="18:18" x14ac:dyDescent="0.2">
      <c r="R867" s="49"/>
    </row>
    <row r="868" spans="18:18" x14ac:dyDescent="0.2">
      <c r="R868" s="49"/>
    </row>
    <row r="869" spans="18:18" x14ac:dyDescent="0.2">
      <c r="R869" s="49"/>
    </row>
    <row r="870" spans="18:18" x14ac:dyDescent="0.2">
      <c r="R870" s="49"/>
    </row>
    <row r="871" spans="18:18" x14ac:dyDescent="0.2">
      <c r="R871" s="49"/>
    </row>
    <row r="872" spans="18:18" x14ac:dyDescent="0.2">
      <c r="R872" s="49"/>
    </row>
    <row r="873" spans="18:18" x14ac:dyDescent="0.2">
      <c r="R873" s="49"/>
    </row>
    <row r="874" spans="18:18" x14ac:dyDescent="0.2">
      <c r="R874" s="49"/>
    </row>
    <row r="875" spans="18:18" x14ac:dyDescent="0.2">
      <c r="R875" s="49"/>
    </row>
    <row r="876" spans="18:18" x14ac:dyDescent="0.2">
      <c r="R876" s="49"/>
    </row>
    <row r="877" spans="18:18" x14ac:dyDescent="0.2">
      <c r="R877" s="49"/>
    </row>
    <row r="878" spans="18:18" x14ac:dyDescent="0.2">
      <c r="R878" s="49"/>
    </row>
    <row r="879" spans="18:18" x14ac:dyDescent="0.2">
      <c r="R879" s="49"/>
    </row>
    <row r="880" spans="18:18" x14ac:dyDescent="0.2">
      <c r="R880" s="49"/>
    </row>
    <row r="881" spans="18:18" x14ac:dyDescent="0.2">
      <c r="R881" s="49"/>
    </row>
    <row r="882" spans="18:18" x14ac:dyDescent="0.2">
      <c r="R882" s="49"/>
    </row>
    <row r="883" spans="18:18" x14ac:dyDescent="0.2">
      <c r="R883" s="49"/>
    </row>
    <row r="884" spans="18:18" x14ac:dyDescent="0.2">
      <c r="R884" s="49"/>
    </row>
    <row r="885" spans="18:18" x14ac:dyDescent="0.2">
      <c r="R885" s="49"/>
    </row>
    <row r="886" spans="18:18" x14ac:dyDescent="0.2">
      <c r="R886" s="49"/>
    </row>
    <row r="887" spans="18:18" x14ac:dyDescent="0.2">
      <c r="R887" s="49"/>
    </row>
    <row r="888" spans="18:18" x14ac:dyDescent="0.2">
      <c r="R888" s="49"/>
    </row>
    <row r="889" spans="18:18" x14ac:dyDescent="0.2">
      <c r="R889" s="49"/>
    </row>
    <row r="890" spans="18:18" x14ac:dyDescent="0.2">
      <c r="R890" s="49"/>
    </row>
    <row r="891" spans="18:18" x14ac:dyDescent="0.2">
      <c r="R891" s="49"/>
    </row>
    <row r="892" spans="18:18" x14ac:dyDescent="0.2">
      <c r="R892" s="49"/>
    </row>
    <row r="893" spans="18:18" x14ac:dyDescent="0.2">
      <c r="R893" s="49"/>
    </row>
    <row r="894" spans="18:18" x14ac:dyDescent="0.2">
      <c r="R894" s="49"/>
    </row>
    <row r="895" spans="18:18" x14ac:dyDescent="0.2">
      <c r="R895" s="49"/>
    </row>
    <row r="896" spans="18:18" x14ac:dyDescent="0.2">
      <c r="R896" s="49"/>
    </row>
    <row r="897" spans="18:18" x14ac:dyDescent="0.2">
      <c r="R897" s="49"/>
    </row>
    <row r="898" spans="18:18" x14ac:dyDescent="0.2">
      <c r="R898" s="49"/>
    </row>
    <row r="899" spans="18:18" x14ac:dyDescent="0.2">
      <c r="R899" s="49"/>
    </row>
    <row r="900" spans="18:18" x14ac:dyDescent="0.2">
      <c r="R900" s="49"/>
    </row>
    <row r="901" spans="18:18" x14ac:dyDescent="0.2">
      <c r="R901" s="49"/>
    </row>
    <row r="902" spans="18:18" x14ac:dyDescent="0.2">
      <c r="R902" s="49"/>
    </row>
    <row r="903" spans="18:18" x14ac:dyDescent="0.2">
      <c r="R903" s="49"/>
    </row>
    <row r="904" spans="18:18" x14ac:dyDescent="0.2">
      <c r="R904" s="49"/>
    </row>
    <row r="905" spans="18:18" x14ac:dyDescent="0.2">
      <c r="R905" s="49"/>
    </row>
    <row r="906" spans="18:18" x14ac:dyDescent="0.2">
      <c r="R906" s="49"/>
    </row>
    <row r="907" spans="18:18" x14ac:dyDescent="0.2">
      <c r="R907" s="49"/>
    </row>
    <row r="908" spans="18:18" x14ac:dyDescent="0.2">
      <c r="R908" s="49"/>
    </row>
    <row r="909" spans="18:18" x14ac:dyDescent="0.2">
      <c r="R909" s="49"/>
    </row>
    <row r="910" spans="18:18" x14ac:dyDescent="0.2">
      <c r="R910" s="49"/>
    </row>
    <row r="911" spans="18:18" x14ac:dyDescent="0.2">
      <c r="R911" s="49"/>
    </row>
    <row r="912" spans="18:18" x14ac:dyDescent="0.2">
      <c r="R912" s="49"/>
    </row>
    <row r="913" spans="18:18" x14ac:dyDescent="0.2">
      <c r="R913" s="49"/>
    </row>
    <row r="914" spans="18:18" x14ac:dyDescent="0.2">
      <c r="R914" s="49"/>
    </row>
    <row r="915" spans="18:18" x14ac:dyDescent="0.2">
      <c r="R915" s="49"/>
    </row>
    <row r="916" spans="18:18" x14ac:dyDescent="0.2">
      <c r="R916" s="49"/>
    </row>
    <row r="917" spans="18:18" x14ac:dyDescent="0.2">
      <c r="R917" s="49"/>
    </row>
    <row r="918" spans="18:18" x14ac:dyDescent="0.2">
      <c r="R918" s="49"/>
    </row>
    <row r="919" spans="18:18" x14ac:dyDescent="0.2">
      <c r="R919" s="49"/>
    </row>
    <row r="920" spans="18:18" x14ac:dyDescent="0.2">
      <c r="R920" s="49"/>
    </row>
    <row r="921" spans="18:18" x14ac:dyDescent="0.2">
      <c r="R921" s="49"/>
    </row>
    <row r="922" spans="18:18" x14ac:dyDescent="0.2">
      <c r="R922" s="49"/>
    </row>
    <row r="923" spans="18:18" x14ac:dyDescent="0.2">
      <c r="R923" s="49"/>
    </row>
    <row r="924" spans="18:18" x14ac:dyDescent="0.2">
      <c r="R924" s="49"/>
    </row>
    <row r="925" spans="18:18" x14ac:dyDescent="0.2">
      <c r="R925" s="49"/>
    </row>
    <row r="926" spans="18:18" x14ac:dyDescent="0.2">
      <c r="R926" s="49"/>
    </row>
    <row r="927" spans="18:18" x14ac:dyDescent="0.2">
      <c r="R927" s="49"/>
    </row>
    <row r="928" spans="18:18" x14ac:dyDescent="0.2">
      <c r="R928" s="49"/>
    </row>
    <row r="929" spans="18:18" x14ac:dyDescent="0.2">
      <c r="R929" s="49"/>
    </row>
    <row r="930" spans="18:18" x14ac:dyDescent="0.2">
      <c r="R930" s="49"/>
    </row>
    <row r="931" spans="18:18" x14ac:dyDescent="0.2">
      <c r="R931" s="49"/>
    </row>
    <row r="932" spans="18:18" x14ac:dyDescent="0.2">
      <c r="R932" s="49"/>
    </row>
    <row r="933" spans="18:18" x14ac:dyDescent="0.2">
      <c r="R933" s="49"/>
    </row>
    <row r="934" spans="18:18" x14ac:dyDescent="0.2">
      <c r="R934" s="49"/>
    </row>
    <row r="935" spans="18:18" x14ac:dyDescent="0.2">
      <c r="R935" s="49"/>
    </row>
    <row r="936" spans="18:18" x14ac:dyDescent="0.2">
      <c r="R936" s="49"/>
    </row>
    <row r="937" spans="18:18" x14ac:dyDescent="0.2">
      <c r="R937" s="49"/>
    </row>
    <row r="938" spans="18:18" x14ac:dyDescent="0.2">
      <c r="R938" s="49"/>
    </row>
    <row r="939" spans="18:18" x14ac:dyDescent="0.2">
      <c r="R939" s="49"/>
    </row>
    <row r="940" spans="18:18" x14ac:dyDescent="0.2">
      <c r="R940" s="49"/>
    </row>
    <row r="941" spans="18:18" x14ac:dyDescent="0.2">
      <c r="R941" s="49"/>
    </row>
    <row r="942" spans="18:18" x14ac:dyDescent="0.2">
      <c r="R942" s="49"/>
    </row>
    <row r="943" spans="18:18" x14ac:dyDescent="0.2">
      <c r="R943" s="49"/>
    </row>
    <row r="944" spans="18:18" x14ac:dyDescent="0.2">
      <c r="R944" s="49"/>
    </row>
    <row r="945" spans="18:18" x14ac:dyDescent="0.2">
      <c r="R945" s="49"/>
    </row>
    <row r="946" spans="18:18" x14ac:dyDescent="0.2">
      <c r="R946" s="49"/>
    </row>
    <row r="947" spans="18:18" x14ac:dyDescent="0.2">
      <c r="R947" s="49"/>
    </row>
    <row r="948" spans="18:18" x14ac:dyDescent="0.2">
      <c r="R948" s="49"/>
    </row>
    <row r="949" spans="18:18" x14ac:dyDescent="0.2">
      <c r="R949" s="49"/>
    </row>
    <row r="950" spans="18:18" x14ac:dyDescent="0.2">
      <c r="R950" s="49"/>
    </row>
    <row r="951" spans="18:18" x14ac:dyDescent="0.2">
      <c r="R951" s="49"/>
    </row>
    <row r="952" spans="18:18" x14ac:dyDescent="0.2">
      <c r="R952" s="49"/>
    </row>
    <row r="953" spans="18:18" x14ac:dyDescent="0.2">
      <c r="R953" s="49"/>
    </row>
    <row r="954" spans="18:18" x14ac:dyDescent="0.2">
      <c r="R954" s="49"/>
    </row>
    <row r="955" spans="18:18" x14ac:dyDescent="0.2">
      <c r="R955" s="49"/>
    </row>
    <row r="956" spans="18:18" x14ac:dyDescent="0.2">
      <c r="R956" s="49"/>
    </row>
    <row r="957" spans="18:18" x14ac:dyDescent="0.2">
      <c r="R957" s="49"/>
    </row>
    <row r="958" spans="18:18" x14ac:dyDescent="0.2">
      <c r="R958" s="49"/>
    </row>
    <row r="959" spans="18:18" x14ac:dyDescent="0.2">
      <c r="R959" s="49"/>
    </row>
    <row r="960" spans="18:18" x14ac:dyDescent="0.2">
      <c r="R960" s="49"/>
    </row>
    <row r="961" spans="18:18" x14ac:dyDescent="0.2">
      <c r="R961" s="49"/>
    </row>
    <row r="962" spans="18:18" x14ac:dyDescent="0.2">
      <c r="R962" s="49"/>
    </row>
    <row r="963" spans="18:18" x14ac:dyDescent="0.2">
      <c r="R963" s="49"/>
    </row>
    <row r="964" spans="18:18" x14ac:dyDescent="0.2">
      <c r="R964" s="49"/>
    </row>
    <row r="965" spans="18:18" x14ac:dyDescent="0.2">
      <c r="R965" s="49"/>
    </row>
    <row r="966" spans="18:18" x14ac:dyDescent="0.2">
      <c r="R966" s="49"/>
    </row>
    <row r="967" spans="18:18" x14ac:dyDescent="0.2">
      <c r="R967" s="49"/>
    </row>
    <row r="968" spans="18:18" x14ac:dyDescent="0.2">
      <c r="R968" s="49"/>
    </row>
    <row r="969" spans="18:18" x14ac:dyDescent="0.2">
      <c r="R969" s="49"/>
    </row>
    <row r="970" spans="18:18" x14ac:dyDescent="0.2">
      <c r="R970" s="49"/>
    </row>
    <row r="971" spans="18:18" x14ac:dyDescent="0.2">
      <c r="R971" s="49"/>
    </row>
    <row r="972" spans="18:18" x14ac:dyDescent="0.2">
      <c r="R972" s="49"/>
    </row>
    <row r="973" spans="18:18" x14ac:dyDescent="0.2">
      <c r="R973" s="49"/>
    </row>
    <row r="974" spans="18:18" x14ac:dyDescent="0.2">
      <c r="R974" s="49"/>
    </row>
    <row r="975" spans="18:18" x14ac:dyDescent="0.2">
      <c r="R975" s="49"/>
    </row>
    <row r="976" spans="18:18" x14ac:dyDescent="0.2">
      <c r="R976" s="49"/>
    </row>
    <row r="977" spans="18:18" x14ac:dyDescent="0.2">
      <c r="R977" s="49"/>
    </row>
    <row r="978" spans="18:18" x14ac:dyDescent="0.2">
      <c r="R978" s="49"/>
    </row>
    <row r="979" spans="18:18" x14ac:dyDescent="0.2">
      <c r="R979" s="49"/>
    </row>
    <row r="980" spans="18:18" x14ac:dyDescent="0.2">
      <c r="R980" s="49"/>
    </row>
    <row r="981" spans="18:18" x14ac:dyDescent="0.2">
      <c r="R981" s="49"/>
    </row>
    <row r="982" spans="18:18" x14ac:dyDescent="0.2">
      <c r="R982" s="49"/>
    </row>
    <row r="983" spans="18:18" x14ac:dyDescent="0.2">
      <c r="R983" s="49"/>
    </row>
    <row r="984" spans="18:18" x14ac:dyDescent="0.2">
      <c r="R984" s="49"/>
    </row>
    <row r="985" spans="18:18" x14ac:dyDescent="0.2">
      <c r="R985" s="49"/>
    </row>
    <row r="986" spans="18:18" x14ac:dyDescent="0.2">
      <c r="R986" s="49"/>
    </row>
    <row r="987" spans="18:18" x14ac:dyDescent="0.2">
      <c r="R987" s="49"/>
    </row>
    <row r="988" spans="18:18" x14ac:dyDescent="0.2">
      <c r="R988" s="49"/>
    </row>
    <row r="989" spans="18:18" x14ac:dyDescent="0.2">
      <c r="R989" s="49"/>
    </row>
    <row r="990" spans="18:18" x14ac:dyDescent="0.2">
      <c r="R990" s="49"/>
    </row>
    <row r="991" spans="18:18" x14ac:dyDescent="0.2">
      <c r="R991" s="49"/>
    </row>
    <row r="992" spans="18:18" x14ac:dyDescent="0.2">
      <c r="R992" s="49"/>
    </row>
    <row r="993" spans="18:18" x14ac:dyDescent="0.2">
      <c r="R993" s="49"/>
    </row>
    <row r="994" spans="18:18" x14ac:dyDescent="0.2">
      <c r="R994" s="49"/>
    </row>
    <row r="995" spans="18:18" x14ac:dyDescent="0.2">
      <c r="R995" s="49"/>
    </row>
    <row r="996" spans="18:18" x14ac:dyDescent="0.2">
      <c r="R996" s="49"/>
    </row>
    <row r="997" spans="18:18" x14ac:dyDescent="0.2">
      <c r="R997" s="49"/>
    </row>
    <row r="998" spans="18:18" x14ac:dyDescent="0.2">
      <c r="R998" s="49"/>
    </row>
    <row r="999" spans="18:18" x14ac:dyDescent="0.2">
      <c r="R999" s="49"/>
    </row>
    <row r="1000" spans="18:18" x14ac:dyDescent="0.2">
      <c r="R1000" s="49"/>
    </row>
    <row r="1001" spans="18:18" x14ac:dyDescent="0.2">
      <c r="R1001" s="49"/>
    </row>
    <row r="1002" spans="18:18" x14ac:dyDescent="0.2">
      <c r="R1002" s="49"/>
    </row>
    <row r="1003" spans="18:18" x14ac:dyDescent="0.2">
      <c r="R1003" s="49"/>
    </row>
    <row r="1004" spans="18:18" x14ac:dyDescent="0.2">
      <c r="R1004" s="49"/>
    </row>
    <row r="1005" spans="18:18" x14ac:dyDescent="0.2">
      <c r="R1005" s="49"/>
    </row>
    <row r="1006" spans="18:18" x14ac:dyDescent="0.2">
      <c r="R1006" s="49"/>
    </row>
    <row r="1007" spans="18:18" x14ac:dyDescent="0.2">
      <c r="R1007" s="49"/>
    </row>
    <row r="1008" spans="18:18" x14ac:dyDescent="0.2">
      <c r="R1008" s="49"/>
    </row>
    <row r="1009" spans="18:18" x14ac:dyDescent="0.2">
      <c r="R1009" s="49"/>
    </row>
    <row r="1010" spans="18:18" x14ac:dyDescent="0.2">
      <c r="R1010" s="49"/>
    </row>
    <row r="1011" spans="18:18" x14ac:dyDescent="0.2">
      <c r="R1011" s="49"/>
    </row>
    <row r="1012" spans="18:18" x14ac:dyDescent="0.2">
      <c r="R1012" s="49"/>
    </row>
    <row r="1013" spans="18:18" x14ac:dyDescent="0.2">
      <c r="R1013" s="49"/>
    </row>
    <row r="1014" spans="18:18" x14ac:dyDescent="0.2">
      <c r="R1014" s="49"/>
    </row>
    <row r="1015" spans="18:18" x14ac:dyDescent="0.2">
      <c r="R1015" s="49"/>
    </row>
    <row r="1016" spans="18:18" x14ac:dyDescent="0.2">
      <c r="R1016" s="49"/>
    </row>
    <row r="1017" spans="18:18" x14ac:dyDescent="0.2">
      <c r="R1017" s="49"/>
    </row>
    <row r="1018" spans="18:18" x14ac:dyDescent="0.2">
      <c r="R1018" s="49"/>
    </row>
    <row r="1019" spans="18:18" x14ac:dyDescent="0.2">
      <c r="R1019" s="49"/>
    </row>
    <row r="1020" spans="18:18" x14ac:dyDescent="0.2">
      <c r="R1020" s="49"/>
    </row>
    <row r="1021" spans="18:18" x14ac:dyDescent="0.2">
      <c r="R1021" s="49"/>
    </row>
    <row r="1022" spans="18:18" x14ac:dyDescent="0.2">
      <c r="R1022" s="49"/>
    </row>
    <row r="1023" spans="18:18" x14ac:dyDescent="0.2">
      <c r="R1023" s="49"/>
    </row>
    <row r="1024" spans="18:18" x14ac:dyDescent="0.2">
      <c r="R1024" s="49"/>
    </row>
    <row r="1025" spans="18:18" x14ac:dyDescent="0.2">
      <c r="R1025" s="49"/>
    </row>
    <row r="1026" spans="18:18" x14ac:dyDescent="0.2">
      <c r="R1026" s="49"/>
    </row>
    <row r="1027" spans="18:18" x14ac:dyDescent="0.2">
      <c r="R1027" s="49"/>
    </row>
    <row r="1028" spans="18:18" x14ac:dyDescent="0.2">
      <c r="R1028" s="49"/>
    </row>
    <row r="1029" spans="18:18" x14ac:dyDescent="0.2">
      <c r="R1029" s="49"/>
    </row>
    <row r="1030" spans="18:18" x14ac:dyDescent="0.2">
      <c r="R1030" s="49"/>
    </row>
    <row r="1031" spans="18:18" x14ac:dyDescent="0.2">
      <c r="R1031" s="49"/>
    </row>
    <row r="1032" spans="18:18" x14ac:dyDescent="0.2">
      <c r="R1032" s="49"/>
    </row>
    <row r="1033" spans="18:18" x14ac:dyDescent="0.2">
      <c r="R1033" s="49"/>
    </row>
    <row r="1034" spans="18:18" x14ac:dyDescent="0.2">
      <c r="R1034" s="49"/>
    </row>
    <row r="1035" spans="18:18" x14ac:dyDescent="0.2">
      <c r="R1035" s="49"/>
    </row>
    <row r="1036" spans="18:18" x14ac:dyDescent="0.2">
      <c r="R1036" s="49"/>
    </row>
    <row r="1037" spans="18:18" x14ac:dyDescent="0.2">
      <c r="R1037" s="49"/>
    </row>
    <row r="1038" spans="18:18" x14ac:dyDescent="0.2">
      <c r="R1038" s="49"/>
    </row>
    <row r="1039" spans="18:18" x14ac:dyDescent="0.2">
      <c r="R1039" s="49"/>
    </row>
    <row r="1040" spans="18:18" x14ac:dyDescent="0.2">
      <c r="R1040" s="49"/>
    </row>
    <row r="1041" spans="18:18" x14ac:dyDescent="0.2">
      <c r="R1041" s="49"/>
    </row>
    <row r="1042" spans="18:18" x14ac:dyDescent="0.2">
      <c r="R1042" s="49"/>
    </row>
    <row r="1043" spans="18:18" x14ac:dyDescent="0.2">
      <c r="R1043" s="49"/>
    </row>
    <row r="1044" spans="18:18" x14ac:dyDescent="0.2">
      <c r="R1044" s="49"/>
    </row>
    <row r="1045" spans="18:18" x14ac:dyDescent="0.2">
      <c r="R1045" s="49"/>
    </row>
    <row r="1046" spans="18:18" x14ac:dyDescent="0.2">
      <c r="R1046" s="49"/>
    </row>
    <row r="1047" spans="18:18" x14ac:dyDescent="0.2">
      <c r="R1047" s="49"/>
    </row>
    <row r="1048" spans="18:18" x14ac:dyDescent="0.2">
      <c r="R1048" s="49"/>
    </row>
    <row r="1049" spans="18:18" x14ac:dyDescent="0.2">
      <c r="R1049" s="49"/>
    </row>
    <row r="1050" spans="18:18" x14ac:dyDescent="0.2">
      <c r="R1050" s="49"/>
    </row>
    <row r="1051" spans="18:18" x14ac:dyDescent="0.2">
      <c r="R1051" s="49"/>
    </row>
    <row r="1052" spans="18:18" x14ac:dyDescent="0.2">
      <c r="R1052" s="49"/>
    </row>
    <row r="1053" spans="18:18" x14ac:dyDescent="0.2">
      <c r="R1053" s="49"/>
    </row>
    <row r="1054" spans="18:18" x14ac:dyDescent="0.2">
      <c r="R1054" s="49"/>
    </row>
    <row r="1055" spans="18:18" x14ac:dyDescent="0.2">
      <c r="R1055" s="49"/>
    </row>
    <row r="1056" spans="18:18" x14ac:dyDescent="0.2">
      <c r="R1056" s="49"/>
    </row>
    <row r="1057" spans="18:18" x14ac:dyDescent="0.2">
      <c r="R1057" s="49"/>
    </row>
    <row r="1058" spans="18:18" x14ac:dyDescent="0.2">
      <c r="R1058" s="49"/>
    </row>
    <row r="1059" spans="18:18" x14ac:dyDescent="0.2">
      <c r="R1059" s="49"/>
    </row>
    <row r="1060" spans="18:18" x14ac:dyDescent="0.2">
      <c r="R1060" s="49"/>
    </row>
    <row r="1061" spans="18:18" x14ac:dyDescent="0.2">
      <c r="R1061" s="49"/>
    </row>
    <row r="1062" spans="18:18" x14ac:dyDescent="0.2">
      <c r="R1062" s="49"/>
    </row>
    <row r="1063" spans="18:18" x14ac:dyDescent="0.2">
      <c r="R1063" s="49"/>
    </row>
    <row r="1064" spans="18:18" x14ac:dyDescent="0.2">
      <c r="R1064" s="49"/>
    </row>
    <row r="1065" spans="18:18" x14ac:dyDescent="0.2">
      <c r="R1065" s="49"/>
    </row>
    <row r="1066" spans="18:18" x14ac:dyDescent="0.2">
      <c r="R1066" s="49"/>
    </row>
    <row r="1067" spans="18:18" x14ac:dyDescent="0.2">
      <c r="R1067" s="49"/>
    </row>
    <row r="1068" spans="18:18" x14ac:dyDescent="0.2">
      <c r="R1068" s="49"/>
    </row>
    <row r="1069" spans="18:18" x14ac:dyDescent="0.2">
      <c r="R1069" s="49"/>
    </row>
    <row r="1070" spans="18:18" x14ac:dyDescent="0.2">
      <c r="R1070" s="49"/>
    </row>
    <row r="1071" spans="18:18" x14ac:dyDescent="0.2">
      <c r="R1071" s="49"/>
    </row>
    <row r="1072" spans="18:18" x14ac:dyDescent="0.2">
      <c r="R1072" s="49"/>
    </row>
    <row r="1073" spans="18:18" x14ac:dyDescent="0.2">
      <c r="R1073" s="49"/>
    </row>
    <row r="1074" spans="18:18" x14ac:dyDescent="0.2">
      <c r="R1074" s="49"/>
    </row>
    <row r="1075" spans="18:18" x14ac:dyDescent="0.2">
      <c r="R1075" s="49"/>
    </row>
    <row r="1076" spans="18:18" x14ac:dyDescent="0.2">
      <c r="R1076" s="49"/>
    </row>
    <row r="1077" spans="18:18" x14ac:dyDescent="0.2">
      <c r="R1077" s="49"/>
    </row>
    <row r="1078" spans="18:18" x14ac:dyDescent="0.2">
      <c r="R1078" s="49"/>
    </row>
    <row r="1079" spans="18:18" x14ac:dyDescent="0.2">
      <c r="R1079" s="49"/>
    </row>
    <row r="1080" spans="18:18" x14ac:dyDescent="0.2">
      <c r="R1080" s="49"/>
    </row>
    <row r="1081" spans="18:18" x14ac:dyDescent="0.2">
      <c r="R1081" s="49"/>
    </row>
    <row r="1082" spans="18:18" x14ac:dyDescent="0.2">
      <c r="R1082" s="49"/>
    </row>
    <row r="1083" spans="18:18" x14ac:dyDescent="0.2">
      <c r="R1083" s="49"/>
    </row>
    <row r="1084" spans="18:18" x14ac:dyDescent="0.2">
      <c r="R1084" s="49"/>
    </row>
    <row r="1085" spans="18:18" x14ac:dyDescent="0.2">
      <c r="R1085" s="49"/>
    </row>
    <row r="1086" spans="18:18" x14ac:dyDescent="0.2">
      <c r="R1086" s="49"/>
    </row>
    <row r="1087" spans="18:18" x14ac:dyDescent="0.2">
      <c r="R1087" s="49"/>
    </row>
    <row r="1088" spans="18:18" x14ac:dyDescent="0.2">
      <c r="R1088" s="49"/>
    </row>
    <row r="1089" spans="18:18" x14ac:dyDescent="0.2">
      <c r="R1089" s="49"/>
    </row>
    <row r="1090" spans="18:18" x14ac:dyDescent="0.2">
      <c r="R1090" s="49"/>
    </row>
    <row r="1091" spans="18:18" x14ac:dyDescent="0.2">
      <c r="R1091" s="49"/>
    </row>
    <row r="1092" spans="18:18" x14ac:dyDescent="0.2">
      <c r="R1092" s="49"/>
    </row>
    <row r="1093" spans="18:18" x14ac:dyDescent="0.2">
      <c r="R1093" s="49"/>
    </row>
    <row r="1094" spans="18:18" x14ac:dyDescent="0.2">
      <c r="R1094" s="49"/>
    </row>
    <row r="1095" spans="18:18" x14ac:dyDescent="0.2">
      <c r="R1095" s="49"/>
    </row>
    <row r="1096" spans="18:18" x14ac:dyDescent="0.2">
      <c r="R1096" s="49"/>
    </row>
    <row r="1097" spans="18:18" x14ac:dyDescent="0.2">
      <c r="R1097" s="49"/>
    </row>
    <row r="1098" spans="18:18" x14ac:dyDescent="0.2">
      <c r="R1098" s="49"/>
    </row>
    <row r="1099" spans="18:18" x14ac:dyDescent="0.2">
      <c r="R1099" s="49"/>
    </row>
    <row r="1100" spans="18:18" x14ac:dyDescent="0.2">
      <c r="R1100" s="49"/>
    </row>
    <row r="1101" spans="18:18" x14ac:dyDescent="0.2">
      <c r="R1101" s="49"/>
    </row>
    <row r="1102" spans="18:18" x14ac:dyDescent="0.2">
      <c r="R1102" s="49"/>
    </row>
    <row r="1103" spans="18:18" x14ac:dyDescent="0.2">
      <c r="R1103" s="49"/>
    </row>
    <row r="1104" spans="18:18" x14ac:dyDescent="0.2">
      <c r="R1104" s="49"/>
    </row>
    <row r="1105" spans="18:18" x14ac:dyDescent="0.2">
      <c r="R1105" s="49"/>
    </row>
    <row r="1106" spans="18:18" x14ac:dyDescent="0.2">
      <c r="R1106" s="49"/>
    </row>
    <row r="1107" spans="18:18" x14ac:dyDescent="0.2">
      <c r="R1107" s="49"/>
    </row>
    <row r="1108" spans="18:18" x14ac:dyDescent="0.2">
      <c r="R1108" s="49"/>
    </row>
    <row r="1109" spans="18:18" x14ac:dyDescent="0.2">
      <c r="R1109" s="49"/>
    </row>
    <row r="1110" spans="18:18" x14ac:dyDescent="0.2">
      <c r="R1110" s="49"/>
    </row>
    <row r="1111" spans="18:18" x14ac:dyDescent="0.2">
      <c r="R1111" s="49"/>
    </row>
    <row r="1112" spans="18:18" x14ac:dyDescent="0.2">
      <c r="R1112" s="49"/>
    </row>
    <row r="1113" spans="18:18" x14ac:dyDescent="0.2">
      <c r="R1113" s="49"/>
    </row>
    <row r="1114" spans="18:18" x14ac:dyDescent="0.2">
      <c r="R1114" s="49"/>
    </row>
    <row r="1115" spans="18:18" x14ac:dyDescent="0.2">
      <c r="R1115" s="49"/>
    </row>
    <row r="1116" spans="18:18" x14ac:dyDescent="0.2">
      <c r="R1116" s="49"/>
    </row>
    <row r="1117" spans="18:18" x14ac:dyDescent="0.2">
      <c r="R1117" s="49"/>
    </row>
    <row r="1118" spans="18:18" x14ac:dyDescent="0.2">
      <c r="R1118" s="49"/>
    </row>
    <row r="1119" spans="18:18" x14ac:dyDescent="0.2">
      <c r="R1119" s="49"/>
    </row>
    <row r="1120" spans="18:18" x14ac:dyDescent="0.2">
      <c r="R1120" s="49"/>
    </row>
    <row r="1121" spans="18:18" x14ac:dyDescent="0.2">
      <c r="R1121" s="49"/>
    </row>
    <row r="1122" spans="18:18" x14ac:dyDescent="0.2">
      <c r="R1122" s="49"/>
    </row>
    <row r="1123" spans="18:18" x14ac:dyDescent="0.2">
      <c r="R1123" s="49"/>
    </row>
    <row r="1124" spans="18:18" x14ac:dyDescent="0.2">
      <c r="R1124" s="49"/>
    </row>
    <row r="1125" spans="18:18" x14ac:dyDescent="0.2">
      <c r="R1125" s="49"/>
    </row>
    <row r="1126" spans="18:18" x14ac:dyDescent="0.2">
      <c r="R1126" s="49"/>
    </row>
    <row r="1127" spans="18:18" x14ac:dyDescent="0.2">
      <c r="R1127" s="49"/>
    </row>
    <row r="1128" spans="18:18" x14ac:dyDescent="0.2">
      <c r="R1128" s="49"/>
    </row>
    <row r="1129" spans="18:18" x14ac:dyDescent="0.2">
      <c r="R1129" s="49"/>
    </row>
    <row r="1130" spans="18:18" x14ac:dyDescent="0.2">
      <c r="R1130" s="49"/>
    </row>
    <row r="1131" spans="18:18" x14ac:dyDescent="0.2">
      <c r="R1131" s="49"/>
    </row>
    <row r="1132" spans="18:18" x14ac:dyDescent="0.2">
      <c r="R1132" s="49"/>
    </row>
    <row r="1133" spans="18:18" x14ac:dyDescent="0.2">
      <c r="R1133" s="49"/>
    </row>
    <row r="1134" spans="18:18" x14ac:dyDescent="0.2">
      <c r="R1134" s="49"/>
    </row>
    <row r="1135" spans="18:18" x14ac:dyDescent="0.2">
      <c r="R1135" s="49"/>
    </row>
    <row r="1136" spans="18:18" x14ac:dyDescent="0.2">
      <c r="R1136" s="49"/>
    </row>
    <row r="1137" spans="18:18" x14ac:dyDescent="0.2">
      <c r="R1137" s="49"/>
    </row>
    <row r="1138" spans="18:18" x14ac:dyDescent="0.2">
      <c r="R1138" s="49"/>
    </row>
    <row r="1139" spans="18:18" x14ac:dyDescent="0.2">
      <c r="R1139" s="49"/>
    </row>
    <row r="1140" spans="18:18" x14ac:dyDescent="0.2">
      <c r="R1140" s="49"/>
    </row>
    <row r="1141" spans="18:18" x14ac:dyDescent="0.2">
      <c r="R1141" s="49"/>
    </row>
    <row r="1142" spans="18:18" x14ac:dyDescent="0.2">
      <c r="R1142" s="49"/>
    </row>
    <row r="1143" spans="18:18" x14ac:dyDescent="0.2">
      <c r="R1143" s="49"/>
    </row>
    <row r="1144" spans="18:18" x14ac:dyDescent="0.2">
      <c r="R1144" s="49"/>
    </row>
    <row r="1145" spans="18:18" x14ac:dyDescent="0.2">
      <c r="R1145" s="49"/>
    </row>
    <row r="1146" spans="18:18" x14ac:dyDescent="0.2">
      <c r="R1146" s="49"/>
    </row>
    <row r="1147" spans="18:18" x14ac:dyDescent="0.2">
      <c r="R1147" s="49"/>
    </row>
    <row r="1148" spans="18:18" x14ac:dyDescent="0.2">
      <c r="R1148" s="49"/>
    </row>
    <row r="1149" spans="18:18" x14ac:dyDescent="0.2">
      <c r="R1149" s="49"/>
    </row>
    <row r="1150" spans="18:18" x14ac:dyDescent="0.2">
      <c r="R1150" s="49"/>
    </row>
    <row r="1151" spans="18:18" x14ac:dyDescent="0.2">
      <c r="R1151" s="49"/>
    </row>
    <row r="1152" spans="18:18" x14ac:dyDescent="0.2">
      <c r="R1152" s="49"/>
    </row>
    <row r="1153" spans="18:18" x14ac:dyDescent="0.2">
      <c r="R1153" s="49"/>
    </row>
    <row r="1154" spans="18:18" x14ac:dyDescent="0.2">
      <c r="R1154" s="49"/>
    </row>
    <row r="1155" spans="18:18" x14ac:dyDescent="0.2">
      <c r="R1155" s="49"/>
    </row>
    <row r="1156" spans="18:18" x14ac:dyDescent="0.2">
      <c r="R1156" s="49"/>
    </row>
    <row r="1157" spans="18:18" x14ac:dyDescent="0.2">
      <c r="R1157" s="49"/>
    </row>
    <row r="1158" spans="18:18" x14ac:dyDescent="0.2">
      <c r="R1158" s="49"/>
    </row>
    <row r="1159" spans="18:18" x14ac:dyDescent="0.2">
      <c r="R1159" s="49"/>
    </row>
    <row r="1160" spans="18:18" x14ac:dyDescent="0.2">
      <c r="R1160" s="49"/>
    </row>
    <row r="1161" spans="18:18" x14ac:dyDescent="0.2">
      <c r="R1161" s="49"/>
    </row>
    <row r="1162" spans="18:18" x14ac:dyDescent="0.2">
      <c r="R1162" s="49"/>
    </row>
    <row r="1163" spans="18:18" x14ac:dyDescent="0.2">
      <c r="R1163" s="49"/>
    </row>
    <row r="1164" spans="18:18" x14ac:dyDescent="0.2">
      <c r="R1164" s="49"/>
    </row>
    <row r="1165" spans="18:18" x14ac:dyDescent="0.2">
      <c r="R1165" s="49"/>
    </row>
    <row r="1166" spans="18:18" x14ac:dyDescent="0.2">
      <c r="R1166" s="49"/>
    </row>
    <row r="1167" spans="18:18" x14ac:dyDescent="0.2">
      <c r="R1167" s="49"/>
    </row>
    <row r="1168" spans="18:18" x14ac:dyDescent="0.2">
      <c r="R1168" s="49"/>
    </row>
    <row r="1169" spans="18:18" x14ac:dyDescent="0.2">
      <c r="R1169" s="49"/>
    </row>
    <row r="1170" spans="18:18" x14ac:dyDescent="0.2">
      <c r="R1170" s="49"/>
    </row>
    <row r="1171" spans="18:18" x14ac:dyDescent="0.2">
      <c r="R1171" s="49"/>
    </row>
    <row r="1172" spans="18:18" x14ac:dyDescent="0.2">
      <c r="R1172" s="49"/>
    </row>
    <row r="1173" spans="18:18" x14ac:dyDescent="0.2">
      <c r="R1173" s="49"/>
    </row>
    <row r="1174" spans="18:18" x14ac:dyDescent="0.2">
      <c r="R1174" s="49"/>
    </row>
    <row r="1175" spans="18:18" x14ac:dyDescent="0.2">
      <c r="R1175" s="49"/>
    </row>
    <row r="1176" spans="18:18" x14ac:dyDescent="0.2">
      <c r="R1176" s="49"/>
    </row>
    <row r="1177" spans="18:18" x14ac:dyDescent="0.2">
      <c r="R1177" s="49"/>
    </row>
    <row r="1178" spans="18:18" x14ac:dyDescent="0.2">
      <c r="R1178" s="49"/>
    </row>
    <row r="1179" spans="18:18" x14ac:dyDescent="0.2">
      <c r="R1179" s="49"/>
    </row>
    <row r="1180" spans="18:18" x14ac:dyDescent="0.2">
      <c r="R1180" s="49"/>
    </row>
    <row r="1181" spans="18:18" x14ac:dyDescent="0.2">
      <c r="R1181" s="49"/>
    </row>
    <row r="1182" spans="18:18" x14ac:dyDescent="0.2">
      <c r="R1182" s="49"/>
    </row>
    <row r="1183" spans="18:18" x14ac:dyDescent="0.2">
      <c r="R1183" s="49"/>
    </row>
    <row r="1184" spans="18:18" x14ac:dyDescent="0.2">
      <c r="R1184" s="49"/>
    </row>
    <row r="1185" spans="18:18" x14ac:dyDescent="0.2">
      <c r="R1185" s="49"/>
    </row>
    <row r="1186" spans="18:18" x14ac:dyDescent="0.2">
      <c r="R1186" s="49"/>
    </row>
    <row r="1187" spans="18:18" x14ac:dyDescent="0.2">
      <c r="R1187" s="49"/>
    </row>
    <row r="1188" spans="18:18" x14ac:dyDescent="0.2">
      <c r="R1188" s="49"/>
    </row>
    <row r="1189" spans="18:18" x14ac:dyDescent="0.2">
      <c r="R1189" s="49"/>
    </row>
    <row r="1190" spans="18:18" x14ac:dyDescent="0.2">
      <c r="R1190" s="49"/>
    </row>
    <row r="1191" spans="18:18" x14ac:dyDescent="0.2">
      <c r="R1191" s="49"/>
    </row>
    <row r="1192" spans="18:18" x14ac:dyDescent="0.2">
      <c r="R1192" s="49"/>
    </row>
    <row r="1193" spans="18:18" x14ac:dyDescent="0.2">
      <c r="R1193" s="49"/>
    </row>
    <row r="1194" spans="18:18" x14ac:dyDescent="0.2">
      <c r="R1194" s="49"/>
    </row>
    <row r="1195" spans="18:18" x14ac:dyDescent="0.2">
      <c r="R1195" s="49"/>
    </row>
    <row r="1196" spans="18:18" x14ac:dyDescent="0.2">
      <c r="R1196" s="49"/>
    </row>
    <row r="1197" spans="18:18" x14ac:dyDescent="0.2">
      <c r="R1197" s="49"/>
    </row>
    <row r="1198" spans="18:18" x14ac:dyDescent="0.2">
      <c r="R1198" s="49"/>
    </row>
    <row r="1199" spans="18:18" x14ac:dyDescent="0.2">
      <c r="R1199" s="49"/>
    </row>
    <row r="1200" spans="18:18" x14ac:dyDescent="0.2">
      <c r="R1200" s="49"/>
    </row>
    <row r="1201" spans="18:18" x14ac:dyDescent="0.2">
      <c r="R1201" s="49"/>
    </row>
    <row r="1202" spans="18:18" x14ac:dyDescent="0.2">
      <c r="R1202" s="49"/>
    </row>
    <row r="1203" spans="18:18" x14ac:dyDescent="0.2">
      <c r="R1203" s="49"/>
    </row>
    <row r="1204" spans="18:18" x14ac:dyDescent="0.2">
      <c r="R1204" s="49"/>
    </row>
    <row r="1205" spans="18:18" x14ac:dyDescent="0.2">
      <c r="R1205" s="49"/>
    </row>
    <row r="1206" spans="18:18" x14ac:dyDescent="0.2">
      <c r="R1206" s="49"/>
    </row>
    <row r="1207" spans="18:18" x14ac:dyDescent="0.2">
      <c r="R1207" s="49"/>
    </row>
    <row r="1208" spans="18:18" x14ac:dyDescent="0.2">
      <c r="R1208" s="49"/>
    </row>
    <row r="1209" spans="18:18" x14ac:dyDescent="0.2">
      <c r="R1209" s="49"/>
    </row>
    <row r="1210" spans="18:18" x14ac:dyDescent="0.2">
      <c r="R1210" s="49"/>
    </row>
    <row r="1211" spans="18:18" x14ac:dyDescent="0.2">
      <c r="R1211" s="49"/>
    </row>
    <row r="1212" spans="18:18" x14ac:dyDescent="0.2">
      <c r="R1212" s="49"/>
    </row>
    <row r="1213" spans="18:18" x14ac:dyDescent="0.2">
      <c r="R1213" s="49"/>
    </row>
    <row r="1214" spans="18:18" x14ac:dyDescent="0.2">
      <c r="R1214" s="49"/>
    </row>
    <row r="1215" spans="18:18" x14ac:dyDescent="0.2">
      <c r="R1215" s="49"/>
    </row>
    <row r="1216" spans="18:18" x14ac:dyDescent="0.2">
      <c r="R1216" s="49"/>
    </row>
    <row r="1217" spans="18:18" x14ac:dyDescent="0.2">
      <c r="R1217" s="49"/>
    </row>
    <row r="1218" spans="18:18" x14ac:dyDescent="0.2">
      <c r="R1218" s="49"/>
    </row>
    <row r="1219" spans="18:18" x14ac:dyDescent="0.2">
      <c r="R1219" s="49"/>
    </row>
    <row r="1220" spans="18:18" x14ac:dyDescent="0.2">
      <c r="R1220" s="49"/>
    </row>
    <row r="1221" spans="18:18" x14ac:dyDescent="0.2">
      <c r="R1221" s="49"/>
    </row>
    <row r="1222" spans="18:18" x14ac:dyDescent="0.2">
      <c r="R1222" s="49"/>
    </row>
    <row r="1223" spans="18:18" x14ac:dyDescent="0.2">
      <c r="R1223" s="49"/>
    </row>
    <row r="1224" spans="18:18" x14ac:dyDescent="0.2">
      <c r="R1224" s="49"/>
    </row>
    <row r="1225" spans="18:18" x14ac:dyDescent="0.2">
      <c r="R1225" s="49"/>
    </row>
    <row r="1226" spans="18:18" x14ac:dyDescent="0.2">
      <c r="R1226" s="49"/>
    </row>
    <row r="1227" spans="18:18" x14ac:dyDescent="0.2">
      <c r="R1227" s="49"/>
    </row>
    <row r="1228" spans="18:18" x14ac:dyDescent="0.2">
      <c r="R1228" s="49"/>
    </row>
    <row r="1229" spans="18:18" x14ac:dyDescent="0.2">
      <c r="R1229" s="49"/>
    </row>
    <row r="1230" spans="18:18" x14ac:dyDescent="0.2">
      <c r="R1230" s="49"/>
    </row>
    <row r="1231" spans="18:18" x14ac:dyDescent="0.2">
      <c r="R1231" s="49"/>
    </row>
    <row r="1232" spans="18:18" x14ac:dyDescent="0.2">
      <c r="R1232" s="49"/>
    </row>
    <row r="1233" spans="18:18" x14ac:dyDescent="0.2">
      <c r="R1233" s="49"/>
    </row>
    <row r="1234" spans="18:18" x14ac:dyDescent="0.2">
      <c r="R1234" s="49"/>
    </row>
    <row r="1235" spans="18:18" x14ac:dyDescent="0.2">
      <c r="R1235" s="49"/>
    </row>
    <row r="1236" spans="18:18" x14ac:dyDescent="0.2">
      <c r="R1236" s="49"/>
    </row>
    <row r="1237" spans="18:18" x14ac:dyDescent="0.2">
      <c r="R1237" s="49"/>
    </row>
    <row r="1238" spans="18:18" x14ac:dyDescent="0.2">
      <c r="R1238" s="49"/>
    </row>
    <row r="1239" spans="18:18" x14ac:dyDescent="0.2">
      <c r="R1239" s="49"/>
    </row>
    <row r="1240" spans="18:18" x14ac:dyDescent="0.2">
      <c r="R1240" s="49"/>
    </row>
    <row r="1241" spans="18:18" x14ac:dyDescent="0.2">
      <c r="R1241" s="49"/>
    </row>
    <row r="1242" spans="18:18" x14ac:dyDescent="0.2">
      <c r="R1242" s="49"/>
    </row>
    <row r="1243" spans="18:18" x14ac:dyDescent="0.2">
      <c r="R1243" s="49"/>
    </row>
    <row r="1244" spans="18:18" x14ac:dyDescent="0.2">
      <c r="R1244" s="49"/>
    </row>
    <row r="1245" spans="18:18" x14ac:dyDescent="0.2">
      <c r="R1245" s="49"/>
    </row>
    <row r="1246" spans="18:18" x14ac:dyDescent="0.2">
      <c r="R1246" s="49"/>
    </row>
    <row r="1247" spans="18:18" x14ac:dyDescent="0.2">
      <c r="R1247" s="49"/>
    </row>
    <row r="1248" spans="18:18" x14ac:dyDescent="0.2">
      <c r="R1248" s="49"/>
    </row>
    <row r="1249" spans="18:18" x14ac:dyDescent="0.2">
      <c r="R1249" s="49"/>
    </row>
    <row r="1250" spans="18:18" x14ac:dyDescent="0.2">
      <c r="R1250" s="49"/>
    </row>
    <row r="1251" spans="18:18" x14ac:dyDescent="0.2">
      <c r="R1251" s="49"/>
    </row>
    <row r="1252" spans="18:18" x14ac:dyDescent="0.2">
      <c r="R1252" s="49"/>
    </row>
    <row r="1253" spans="18:18" x14ac:dyDescent="0.2">
      <c r="R1253" s="49"/>
    </row>
    <row r="1254" spans="18:18" x14ac:dyDescent="0.2">
      <c r="R1254" s="49"/>
    </row>
    <row r="1255" spans="18:18" x14ac:dyDescent="0.2">
      <c r="R1255" s="49"/>
    </row>
    <row r="1256" spans="18:18" x14ac:dyDescent="0.2">
      <c r="R1256" s="49"/>
    </row>
    <row r="1257" spans="18:18" x14ac:dyDescent="0.2">
      <c r="R1257" s="49"/>
    </row>
    <row r="1258" spans="18:18" x14ac:dyDescent="0.2">
      <c r="R1258" s="49"/>
    </row>
    <row r="1259" spans="18:18" x14ac:dyDescent="0.2">
      <c r="R1259" s="49"/>
    </row>
    <row r="1260" spans="18:18" x14ac:dyDescent="0.2">
      <c r="R1260" s="49"/>
    </row>
    <row r="1261" spans="18:18" x14ac:dyDescent="0.2">
      <c r="R1261" s="49"/>
    </row>
    <row r="1262" spans="18:18" x14ac:dyDescent="0.2">
      <c r="R1262" s="49"/>
    </row>
    <row r="1263" spans="18:18" x14ac:dyDescent="0.2">
      <c r="R1263" s="49"/>
    </row>
    <row r="1264" spans="18:18" x14ac:dyDescent="0.2">
      <c r="R1264" s="49"/>
    </row>
    <row r="1265" spans="18:18" x14ac:dyDescent="0.2">
      <c r="R1265" s="49"/>
    </row>
    <row r="1266" spans="18:18" x14ac:dyDescent="0.2">
      <c r="R1266" s="49"/>
    </row>
    <row r="1267" spans="18:18" x14ac:dyDescent="0.2">
      <c r="R1267" s="49"/>
    </row>
    <row r="1268" spans="18:18" x14ac:dyDescent="0.2">
      <c r="R1268" s="49"/>
    </row>
    <row r="1269" spans="18:18" x14ac:dyDescent="0.2">
      <c r="R1269" s="49"/>
    </row>
    <row r="1270" spans="18:18" x14ac:dyDescent="0.2">
      <c r="R1270" s="49"/>
    </row>
    <row r="1271" spans="18:18" x14ac:dyDescent="0.2">
      <c r="R1271" s="49"/>
    </row>
    <row r="1272" spans="18:18" x14ac:dyDescent="0.2">
      <c r="R1272" s="49"/>
    </row>
    <row r="1273" spans="18:18" x14ac:dyDescent="0.2">
      <c r="R1273" s="49"/>
    </row>
    <row r="1274" spans="18:18" x14ac:dyDescent="0.2">
      <c r="R1274" s="49"/>
    </row>
    <row r="1275" spans="18:18" x14ac:dyDescent="0.2">
      <c r="R1275" s="49"/>
    </row>
    <row r="1276" spans="18:18" x14ac:dyDescent="0.2">
      <c r="R1276" s="49"/>
    </row>
    <row r="1277" spans="18:18" x14ac:dyDescent="0.2">
      <c r="R1277" s="49"/>
    </row>
    <row r="1278" spans="18:18" x14ac:dyDescent="0.2">
      <c r="R1278" s="49"/>
    </row>
    <row r="1279" spans="18:18" x14ac:dyDescent="0.2">
      <c r="R1279" s="49"/>
    </row>
    <row r="1280" spans="18:18" x14ac:dyDescent="0.2">
      <c r="R1280" s="49"/>
    </row>
    <row r="1281" spans="18:18" x14ac:dyDescent="0.2">
      <c r="R1281" s="49"/>
    </row>
    <row r="1282" spans="18:18" x14ac:dyDescent="0.2">
      <c r="R1282" s="49"/>
    </row>
    <row r="1283" spans="18:18" x14ac:dyDescent="0.2">
      <c r="R1283" s="49"/>
    </row>
    <row r="1284" spans="18:18" x14ac:dyDescent="0.2">
      <c r="R1284" s="49"/>
    </row>
    <row r="1285" spans="18:18" x14ac:dyDescent="0.2">
      <c r="R1285" s="49"/>
    </row>
    <row r="1286" spans="18:18" x14ac:dyDescent="0.2">
      <c r="R1286" s="49"/>
    </row>
    <row r="1287" spans="18:18" x14ac:dyDescent="0.2">
      <c r="R1287" s="49"/>
    </row>
    <row r="1288" spans="18:18" x14ac:dyDescent="0.2">
      <c r="R1288" s="49"/>
    </row>
    <row r="1289" spans="18:18" x14ac:dyDescent="0.2">
      <c r="R1289" s="49"/>
    </row>
    <row r="1290" spans="18:18" x14ac:dyDescent="0.2">
      <c r="R1290" s="49"/>
    </row>
    <row r="1291" spans="18:18" x14ac:dyDescent="0.2">
      <c r="R1291" s="49"/>
    </row>
    <row r="1292" spans="18:18" x14ac:dyDescent="0.2">
      <c r="R1292" s="49"/>
    </row>
    <row r="1293" spans="18:18" x14ac:dyDescent="0.2">
      <c r="R1293" s="49"/>
    </row>
    <row r="1294" spans="18:18" x14ac:dyDescent="0.2">
      <c r="R1294" s="49"/>
    </row>
    <row r="1295" spans="18:18" x14ac:dyDescent="0.2">
      <c r="R1295" s="49"/>
    </row>
    <row r="1296" spans="18:18" x14ac:dyDescent="0.2">
      <c r="R1296" s="49"/>
    </row>
    <row r="1297" spans="18:18" x14ac:dyDescent="0.2">
      <c r="R1297" s="49"/>
    </row>
    <row r="1298" spans="18:18" x14ac:dyDescent="0.2">
      <c r="R1298" s="49"/>
    </row>
    <row r="1299" spans="18:18" x14ac:dyDescent="0.2">
      <c r="R1299" s="49"/>
    </row>
    <row r="1300" spans="18:18" x14ac:dyDescent="0.2">
      <c r="R1300" s="49"/>
    </row>
    <row r="1301" spans="18:18" x14ac:dyDescent="0.2">
      <c r="R1301" s="49"/>
    </row>
    <row r="1302" spans="18:18" x14ac:dyDescent="0.2">
      <c r="R1302" s="49"/>
    </row>
    <row r="1303" spans="18:18" x14ac:dyDescent="0.2">
      <c r="R1303" s="49"/>
    </row>
    <row r="1304" spans="18:18" x14ac:dyDescent="0.2">
      <c r="R1304" s="49"/>
    </row>
    <row r="1305" spans="18:18" x14ac:dyDescent="0.2">
      <c r="R1305" s="49"/>
    </row>
    <row r="1306" spans="18:18" x14ac:dyDescent="0.2">
      <c r="R1306" s="49"/>
    </row>
    <row r="1307" spans="18:18" x14ac:dyDescent="0.2">
      <c r="R1307" s="49"/>
    </row>
    <row r="1308" spans="18:18" x14ac:dyDescent="0.2">
      <c r="R1308" s="49"/>
    </row>
    <row r="1309" spans="18:18" x14ac:dyDescent="0.2">
      <c r="R1309" s="49"/>
    </row>
    <row r="1310" spans="18:18" x14ac:dyDescent="0.2">
      <c r="R1310" s="49"/>
    </row>
    <row r="1311" spans="18:18" x14ac:dyDescent="0.2">
      <c r="R1311" s="49"/>
    </row>
    <row r="1312" spans="18:18" x14ac:dyDescent="0.2">
      <c r="R1312" s="49"/>
    </row>
    <row r="1313" spans="18:18" x14ac:dyDescent="0.2">
      <c r="R1313" s="49"/>
    </row>
    <row r="1314" spans="18:18" x14ac:dyDescent="0.2">
      <c r="R1314" s="49"/>
    </row>
    <row r="1315" spans="18:18" x14ac:dyDescent="0.2">
      <c r="R1315" s="49"/>
    </row>
    <row r="1316" spans="18:18" x14ac:dyDescent="0.2">
      <c r="R1316" s="49"/>
    </row>
    <row r="1317" spans="18:18" x14ac:dyDescent="0.2">
      <c r="R1317" s="49"/>
    </row>
    <row r="1318" spans="18:18" x14ac:dyDescent="0.2">
      <c r="R1318" s="49"/>
    </row>
    <row r="1319" spans="18:18" x14ac:dyDescent="0.2">
      <c r="R1319" s="49"/>
    </row>
    <row r="1320" spans="18:18" x14ac:dyDescent="0.2">
      <c r="R1320" s="49"/>
    </row>
    <row r="1321" spans="18:18" x14ac:dyDescent="0.2">
      <c r="R1321" s="49"/>
    </row>
    <row r="1322" spans="18:18" x14ac:dyDescent="0.2">
      <c r="R1322" s="49"/>
    </row>
    <row r="1323" spans="18:18" x14ac:dyDescent="0.2">
      <c r="R1323" s="49"/>
    </row>
    <row r="1324" spans="18:18" x14ac:dyDescent="0.2">
      <c r="R1324" s="49"/>
    </row>
    <row r="1325" spans="18:18" x14ac:dyDescent="0.2">
      <c r="R1325" s="49"/>
    </row>
    <row r="1326" spans="18:18" x14ac:dyDescent="0.2">
      <c r="R1326" s="49"/>
    </row>
    <row r="1327" spans="18:18" x14ac:dyDescent="0.2">
      <c r="R1327" s="49"/>
    </row>
    <row r="1328" spans="18:18" x14ac:dyDescent="0.2">
      <c r="R1328" s="49"/>
    </row>
    <row r="1329" spans="18:18" x14ac:dyDescent="0.2">
      <c r="R1329" s="49"/>
    </row>
    <row r="1330" spans="18:18" x14ac:dyDescent="0.2">
      <c r="R1330" s="49"/>
    </row>
    <row r="1331" spans="18:18" x14ac:dyDescent="0.2">
      <c r="R1331" s="49"/>
    </row>
    <row r="1332" spans="18:18" x14ac:dyDescent="0.2">
      <c r="R1332" s="49"/>
    </row>
    <row r="1333" spans="18:18" x14ac:dyDescent="0.2">
      <c r="R1333" s="49"/>
    </row>
    <row r="1334" spans="18:18" x14ac:dyDescent="0.2">
      <c r="R1334" s="49"/>
    </row>
    <row r="1335" spans="18:18" x14ac:dyDescent="0.2">
      <c r="R1335" s="49"/>
    </row>
    <row r="1336" spans="18:18" x14ac:dyDescent="0.2">
      <c r="R1336" s="49"/>
    </row>
    <row r="1337" spans="18:18" x14ac:dyDescent="0.2">
      <c r="R1337" s="49"/>
    </row>
    <row r="1338" spans="18:18" x14ac:dyDescent="0.2">
      <c r="R1338" s="49"/>
    </row>
    <row r="1339" spans="18:18" x14ac:dyDescent="0.2">
      <c r="R1339" s="49"/>
    </row>
    <row r="1340" spans="18:18" x14ac:dyDescent="0.2">
      <c r="R1340" s="49"/>
    </row>
    <row r="1341" spans="18:18" x14ac:dyDescent="0.2">
      <c r="R1341" s="49"/>
    </row>
    <row r="1342" spans="18:18" x14ac:dyDescent="0.2">
      <c r="R1342" s="49"/>
    </row>
    <row r="1343" spans="18:18" x14ac:dyDescent="0.2">
      <c r="R1343" s="49"/>
    </row>
    <row r="1344" spans="18:18" x14ac:dyDescent="0.2">
      <c r="R1344" s="49"/>
    </row>
    <row r="1345" spans="18:18" x14ac:dyDescent="0.2">
      <c r="R1345" s="49"/>
    </row>
    <row r="1346" spans="18:18" x14ac:dyDescent="0.2">
      <c r="R1346" s="49"/>
    </row>
    <row r="1347" spans="18:18" x14ac:dyDescent="0.2">
      <c r="R1347" s="49"/>
    </row>
    <row r="1348" spans="18:18" x14ac:dyDescent="0.2">
      <c r="R1348" s="49"/>
    </row>
    <row r="1349" spans="18:18" x14ac:dyDescent="0.2">
      <c r="R1349" s="49"/>
    </row>
    <row r="1350" spans="18:18" x14ac:dyDescent="0.2">
      <c r="R1350" s="49"/>
    </row>
    <row r="1351" spans="18:18" x14ac:dyDescent="0.2">
      <c r="R1351" s="49"/>
    </row>
    <row r="1352" spans="18:18" x14ac:dyDescent="0.2">
      <c r="R1352" s="49"/>
    </row>
    <row r="1353" spans="18:18" x14ac:dyDescent="0.2">
      <c r="R1353" s="49"/>
    </row>
    <row r="1354" spans="18:18" x14ac:dyDescent="0.2">
      <c r="R1354" s="49"/>
    </row>
    <row r="1355" spans="18:18" x14ac:dyDescent="0.2">
      <c r="R1355" s="49"/>
    </row>
    <row r="1356" spans="18:18" x14ac:dyDescent="0.2">
      <c r="R1356" s="49"/>
    </row>
    <row r="1357" spans="18:18" x14ac:dyDescent="0.2">
      <c r="R1357" s="49"/>
    </row>
    <row r="1358" spans="18:18" x14ac:dyDescent="0.2">
      <c r="R1358" s="49"/>
    </row>
    <row r="1359" spans="18:18" x14ac:dyDescent="0.2">
      <c r="R1359" s="49"/>
    </row>
    <row r="1360" spans="18:18" x14ac:dyDescent="0.2">
      <c r="R1360" s="49"/>
    </row>
    <row r="1361" spans="18:18" x14ac:dyDescent="0.2">
      <c r="R1361" s="49"/>
    </row>
    <row r="1362" spans="18:18" x14ac:dyDescent="0.2">
      <c r="R1362" s="49"/>
    </row>
    <row r="1363" spans="18:18" x14ac:dyDescent="0.2">
      <c r="R1363" s="49"/>
    </row>
    <row r="1364" spans="18:18" x14ac:dyDescent="0.2">
      <c r="R1364" s="49"/>
    </row>
    <row r="1365" spans="18:18" x14ac:dyDescent="0.2">
      <c r="R1365" s="49"/>
    </row>
    <row r="1366" spans="18:18" x14ac:dyDescent="0.2">
      <c r="R1366" s="49"/>
    </row>
    <row r="1367" spans="18:18" x14ac:dyDescent="0.2">
      <c r="R1367" s="49"/>
    </row>
    <row r="1368" spans="18:18" x14ac:dyDescent="0.2">
      <c r="R1368" s="49"/>
    </row>
    <row r="1369" spans="18:18" x14ac:dyDescent="0.2">
      <c r="R1369" s="49"/>
    </row>
    <row r="1370" spans="18:18" x14ac:dyDescent="0.2">
      <c r="R1370" s="49"/>
    </row>
    <row r="1371" spans="18:18" x14ac:dyDescent="0.2">
      <c r="R1371" s="49"/>
    </row>
    <row r="1372" spans="18:18" x14ac:dyDescent="0.2">
      <c r="R1372" s="49"/>
    </row>
    <row r="1373" spans="18:18" x14ac:dyDescent="0.2">
      <c r="R1373" s="49"/>
    </row>
    <row r="1374" spans="18:18" x14ac:dyDescent="0.2">
      <c r="R1374" s="49"/>
    </row>
    <row r="1375" spans="18:18" x14ac:dyDescent="0.2">
      <c r="R1375" s="49"/>
    </row>
    <row r="1376" spans="18:18" x14ac:dyDescent="0.2">
      <c r="R1376" s="49"/>
    </row>
    <row r="1377" spans="18:18" x14ac:dyDescent="0.2">
      <c r="R1377" s="49"/>
    </row>
    <row r="1378" spans="18:18" x14ac:dyDescent="0.2">
      <c r="R1378" s="49"/>
    </row>
    <row r="1379" spans="18:18" x14ac:dyDescent="0.2">
      <c r="R1379" s="49"/>
    </row>
    <row r="1380" spans="18:18" x14ac:dyDescent="0.2">
      <c r="R1380" s="49"/>
    </row>
    <row r="1381" spans="18:18" x14ac:dyDescent="0.2">
      <c r="R1381" s="49"/>
    </row>
    <row r="1382" spans="18:18" x14ac:dyDescent="0.2">
      <c r="R1382" s="49"/>
    </row>
    <row r="1383" spans="18:18" x14ac:dyDescent="0.2">
      <c r="R1383" s="49"/>
    </row>
    <row r="1384" spans="18:18" x14ac:dyDescent="0.2">
      <c r="R1384" s="49"/>
    </row>
    <row r="1385" spans="18:18" x14ac:dyDescent="0.2">
      <c r="R1385" s="49"/>
    </row>
    <row r="1386" spans="18:18" x14ac:dyDescent="0.2">
      <c r="R1386" s="49"/>
    </row>
    <row r="1387" spans="18:18" x14ac:dyDescent="0.2">
      <c r="R1387" s="49"/>
    </row>
    <row r="1388" spans="18:18" x14ac:dyDescent="0.2">
      <c r="R1388" s="49"/>
    </row>
    <row r="1389" spans="18:18" x14ac:dyDescent="0.2">
      <c r="R1389" s="49"/>
    </row>
    <row r="1390" spans="18:18" x14ac:dyDescent="0.2">
      <c r="R1390" s="49"/>
    </row>
    <row r="1391" spans="18:18" x14ac:dyDescent="0.2">
      <c r="R1391" s="49"/>
    </row>
    <row r="1392" spans="18:18" x14ac:dyDescent="0.2">
      <c r="R1392" s="49"/>
    </row>
    <row r="1393" spans="18:18" x14ac:dyDescent="0.2">
      <c r="R1393" s="49"/>
    </row>
    <row r="1394" spans="18:18" x14ac:dyDescent="0.2">
      <c r="R1394" s="49"/>
    </row>
    <row r="1395" spans="18:18" x14ac:dyDescent="0.2">
      <c r="R1395" s="49"/>
    </row>
    <row r="1396" spans="18:18" x14ac:dyDescent="0.2">
      <c r="R1396" s="49"/>
    </row>
    <row r="1397" spans="18:18" x14ac:dyDescent="0.2">
      <c r="R1397" s="49"/>
    </row>
    <row r="1398" spans="18:18" x14ac:dyDescent="0.2">
      <c r="R1398" s="49"/>
    </row>
    <row r="1399" spans="18:18" x14ac:dyDescent="0.2">
      <c r="R1399" s="49"/>
    </row>
    <row r="1400" spans="18:18" x14ac:dyDescent="0.2">
      <c r="R1400" s="49"/>
    </row>
    <row r="1401" spans="18:18" x14ac:dyDescent="0.2">
      <c r="R1401" s="49"/>
    </row>
    <row r="1402" spans="18:18" x14ac:dyDescent="0.2">
      <c r="R1402" s="49"/>
    </row>
    <row r="1403" spans="18:18" x14ac:dyDescent="0.2">
      <c r="R1403" s="49"/>
    </row>
    <row r="1404" spans="18:18" x14ac:dyDescent="0.2">
      <c r="R1404" s="49"/>
    </row>
    <row r="1405" spans="18:18" x14ac:dyDescent="0.2">
      <c r="R1405" s="49"/>
    </row>
    <row r="1406" spans="18:18" x14ac:dyDescent="0.2">
      <c r="R1406" s="49"/>
    </row>
    <row r="1407" spans="18:18" x14ac:dyDescent="0.2">
      <c r="R1407" s="49"/>
    </row>
    <row r="1408" spans="18:18" x14ac:dyDescent="0.2">
      <c r="R1408" s="49"/>
    </row>
    <row r="1409" spans="18:18" x14ac:dyDescent="0.2">
      <c r="R1409" s="49"/>
    </row>
    <row r="1410" spans="18:18" x14ac:dyDescent="0.2">
      <c r="R1410" s="49"/>
    </row>
    <row r="1411" spans="18:18" x14ac:dyDescent="0.2">
      <c r="R1411" s="49"/>
    </row>
    <row r="1412" spans="18:18" x14ac:dyDescent="0.2">
      <c r="R1412" s="49"/>
    </row>
    <row r="1413" spans="18:18" x14ac:dyDescent="0.2">
      <c r="R1413" s="49"/>
    </row>
    <row r="1414" spans="18:18" x14ac:dyDescent="0.2">
      <c r="R1414" s="49"/>
    </row>
    <row r="1415" spans="18:18" x14ac:dyDescent="0.2">
      <c r="R1415" s="49"/>
    </row>
    <row r="1416" spans="18:18" x14ac:dyDescent="0.2">
      <c r="R1416" s="49"/>
    </row>
    <row r="1417" spans="18:18" x14ac:dyDescent="0.2">
      <c r="R1417" s="49"/>
    </row>
    <row r="1418" spans="18:18" x14ac:dyDescent="0.2">
      <c r="R1418" s="49"/>
    </row>
    <row r="1419" spans="18:18" x14ac:dyDescent="0.2">
      <c r="R1419" s="49"/>
    </row>
    <row r="1420" spans="18:18" x14ac:dyDescent="0.2">
      <c r="R1420" s="49"/>
    </row>
    <row r="1421" spans="18:18" x14ac:dyDescent="0.2">
      <c r="R1421" s="49"/>
    </row>
    <row r="1422" spans="18:18" x14ac:dyDescent="0.2">
      <c r="R1422" s="49"/>
    </row>
    <row r="1423" spans="18:18" x14ac:dyDescent="0.2">
      <c r="R1423" s="49"/>
    </row>
    <row r="1424" spans="18:18" x14ac:dyDescent="0.2">
      <c r="R1424" s="49"/>
    </row>
    <row r="1425" spans="18:18" x14ac:dyDescent="0.2">
      <c r="R1425" s="49"/>
    </row>
    <row r="1426" spans="18:18" x14ac:dyDescent="0.2">
      <c r="R1426" s="49"/>
    </row>
    <row r="1427" spans="18:18" x14ac:dyDescent="0.2">
      <c r="R1427" s="49"/>
    </row>
    <row r="1428" spans="18:18" x14ac:dyDescent="0.2">
      <c r="R1428" s="49"/>
    </row>
    <row r="1429" spans="18:18" x14ac:dyDescent="0.2">
      <c r="R1429" s="49"/>
    </row>
    <row r="1430" spans="18:18" x14ac:dyDescent="0.2">
      <c r="R1430" s="49"/>
    </row>
    <row r="1431" spans="18:18" x14ac:dyDescent="0.2">
      <c r="R1431" s="49"/>
    </row>
    <row r="1432" spans="18:18" x14ac:dyDescent="0.2">
      <c r="R1432" s="49"/>
    </row>
    <row r="1433" spans="18:18" x14ac:dyDescent="0.2">
      <c r="R1433" s="49"/>
    </row>
    <row r="1434" spans="18:18" x14ac:dyDescent="0.2">
      <c r="R1434" s="49"/>
    </row>
    <row r="1435" spans="18:18" x14ac:dyDescent="0.2">
      <c r="R1435" s="49"/>
    </row>
    <row r="1436" spans="18:18" x14ac:dyDescent="0.2">
      <c r="R1436" s="49"/>
    </row>
    <row r="1437" spans="18:18" x14ac:dyDescent="0.2">
      <c r="R1437" s="49"/>
    </row>
    <row r="1438" spans="18:18" x14ac:dyDescent="0.2">
      <c r="R1438" s="49"/>
    </row>
    <row r="1439" spans="18:18" x14ac:dyDescent="0.2">
      <c r="R1439" s="49"/>
    </row>
    <row r="1440" spans="18:18" x14ac:dyDescent="0.2">
      <c r="R1440" s="49"/>
    </row>
    <row r="1441" spans="18:18" x14ac:dyDescent="0.2">
      <c r="R1441" s="49"/>
    </row>
    <row r="1442" spans="18:18" x14ac:dyDescent="0.2">
      <c r="R1442" s="49"/>
    </row>
    <row r="1443" spans="18:18" x14ac:dyDescent="0.2">
      <c r="R1443" s="49"/>
    </row>
    <row r="1444" spans="18:18" x14ac:dyDescent="0.2">
      <c r="R1444" s="49"/>
    </row>
    <row r="1445" spans="18:18" x14ac:dyDescent="0.2">
      <c r="R1445" s="49"/>
    </row>
    <row r="1446" spans="18:18" x14ac:dyDescent="0.2">
      <c r="R1446" s="49"/>
    </row>
    <row r="1447" spans="18:18" x14ac:dyDescent="0.2">
      <c r="R1447" s="49"/>
    </row>
    <row r="1448" spans="18:18" x14ac:dyDescent="0.2">
      <c r="R1448" s="49"/>
    </row>
    <row r="1449" spans="18:18" x14ac:dyDescent="0.2">
      <c r="R1449" s="49"/>
    </row>
    <row r="1450" spans="18:18" x14ac:dyDescent="0.2">
      <c r="R1450" s="49"/>
    </row>
    <row r="1451" spans="18:18" x14ac:dyDescent="0.2">
      <c r="R1451" s="49"/>
    </row>
    <row r="1452" spans="18:18" x14ac:dyDescent="0.2">
      <c r="R1452" s="49"/>
    </row>
    <row r="1453" spans="18:18" x14ac:dyDescent="0.2">
      <c r="R1453" s="49"/>
    </row>
    <row r="1454" spans="18:18" x14ac:dyDescent="0.2">
      <c r="R1454" s="49"/>
    </row>
    <row r="1455" spans="18:18" x14ac:dyDescent="0.2">
      <c r="R1455" s="49"/>
    </row>
    <row r="1456" spans="18:18" x14ac:dyDescent="0.2">
      <c r="R1456" s="49"/>
    </row>
    <row r="1457" spans="18:18" x14ac:dyDescent="0.2">
      <c r="R1457" s="49"/>
    </row>
    <row r="1458" spans="18:18" x14ac:dyDescent="0.2">
      <c r="R1458" s="49"/>
    </row>
    <row r="1459" spans="18:18" x14ac:dyDescent="0.2">
      <c r="R1459" s="49"/>
    </row>
    <row r="1460" spans="18:18" x14ac:dyDescent="0.2">
      <c r="R1460" s="49"/>
    </row>
    <row r="1461" spans="18:18" x14ac:dyDescent="0.2">
      <c r="R1461" s="49"/>
    </row>
    <row r="1462" spans="18:18" x14ac:dyDescent="0.2">
      <c r="R1462" s="49"/>
    </row>
    <row r="1463" spans="18:18" x14ac:dyDescent="0.2">
      <c r="R1463" s="49"/>
    </row>
    <row r="1464" spans="18:18" x14ac:dyDescent="0.2">
      <c r="R1464" s="49"/>
    </row>
    <row r="1465" spans="18:18" x14ac:dyDescent="0.2">
      <c r="R1465" s="49"/>
    </row>
    <row r="1466" spans="18:18" x14ac:dyDescent="0.2">
      <c r="R1466" s="49"/>
    </row>
    <row r="1467" spans="18:18" x14ac:dyDescent="0.2">
      <c r="R1467" s="49"/>
    </row>
    <row r="1468" spans="18:18" x14ac:dyDescent="0.2">
      <c r="R1468" s="49"/>
    </row>
    <row r="1469" spans="18:18" x14ac:dyDescent="0.2">
      <c r="R1469" s="49"/>
    </row>
    <row r="1470" spans="18:18" x14ac:dyDescent="0.2">
      <c r="R1470" s="49"/>
    </row>
    <row r="1471" spans="18:18" x14ac:dyDescent="0.2">
      <c r="R1471" s="49"/>
    </row>
    <row r="1472" spans="18:18" x14ac:dyDescent="0.2">
      <c r="R1472" s="49"/>
    </row>
    <row r="1473" spans="18:18" x14ac:dyDescent="0.2">
      <c r="R1473" s="49"/>
    </row>
    <row r="1474" spans="18:18" x14ac:dyDescent="0.2">
      <c r="R1474" s="49"/>
    </row>
    <row r="1475" spans="18:18" x14ac:dyDescent="0.2">
      <c r="R1475" s="49"/>
    </row>
    <row r="1476" spans="18:18" x14ac:dyDescent="0.2">
      <c r="R1476" s="49"/>
    </row>
    <row r="1477" spans="18:18" x14ac:dyDescent="0.2">
      <c r="R1477" s="49"/>
    </row>
    <row r="1478" spans="18:18" x14ac:dyDescent="0.2">
      <c r="R1478" s="49"/>
    </row>
    <row r="1479" spans="18:18" x14ac:dyDescent="0.2">
      <c r="R1479" s="49"/>
    </row>
    <row r="1480" spans="18:18" x14ac:dyDescent="0.2">
      <c r="R1480" s="49"/>
    </row>
    <row r="1481" spans="18:18" x14ac:dyDescent="0.2">
      <c r="R1481" s="49"/>
    </row>
    <row r="1482" spans="18:18" x14ac:dyDescent="0.2">
      <c r="R1482" s="49"/>
    </row>
    <row r="1483" spans="18:18" x14ac:dyDescent="0.2">
      <c r="R1483" s="49"/>
    </row>
    <row r="1484" spans="18:18" x14ac:dyDescent="0.2">
      <c r="R1484" s="49"/>
    </row>
    <row r="1485" spans="18:18" x14ac:dyDescent="0.2">
      <c r="R1485" s="49"/>
    </row>
    <row r="1486" spans="18:18" x14ac:dyDescent="0.2">
      <c r="R1486" s="49"/>
    </row>
    <row r="1487" spans="18:18" x14ac:dyDescent="0.2">
      <c r="R1487" s="49"/>
    </row>
    <row r="1488" spans="18:18" x14ac:dyDescent="0.2">
      <c r="R1488" s="49"/>
    </row>
    <row r="1489" spans="18:18" x14ac:dyDescent="0.2">
      <c r="R1489" s="49"/>
    </row>
    <row r="1490" spans="18:18" x14ac:dyDescent="0.2">
      <c r="R1490" s="49"/>
    </row>
    <row r="1491" spans="18:18" x14ac:dyDescent="0.2">
      <c r="R1491" s="49"/>
    </row>
    <row r="1492" spans="18:18" x14ac:dyDescent="0.2">
      <c r="R1492" s="49"/>
    </row>
    <row r="1493" spans="18:18" x14ac:dyDescent="0.2">
      <c r="R1493" s="49"/>
    </row>
    <row r="1494" spans="18:18" x14ac:dyDescent="0.2">
      <c r="R1494" s="49"/>
    </row>
    <row r="1495" spans="18:18" x14ac:dyDescent="0.2">
      <c r="R1495" s="49"/>
    </row>
    <row r="1496" spans="18:18" x14ac:dyDescent="0.2">
      <c r="R1496" s="49"/>
    </row>
    <row r="1497" spans="18:18" x14ac:dyDescent="0.2">
      <c r="R1497" s="49"/>
    </row>
  </sheetData>
  <sortState ref="C21:E24">
    <sortCondition descending="1" ref="E21"/>
  </sortState>
  <mergeCells count="3">
    <mergeCell ref="C3:P3"/>
    <mergeCell ref="D5:E5"/>
    <mergeCell ref="B37:R43"/>
  </mergeCells>
  <pageMargins left="0.7" right="0.7" top="0.75" bottom="0.75" header="0.3" footer="0.3"/>
  <pageSetup scale="6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67"/>
  <sheetViews>
    <sheetView showGridLines="0" zoomScale="80" zoomScaleNormal="80" workbookViewId="0"/>
  </sheetViews>
  <sheetFormatPr defaultColWidth="9.140625"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3"/>
      <c r="C2" s="28"/>
      <c r="D2" s="28"/>
      <c r="E2" s="28"/>
      <c r="F2" s="28"/>
      <c r="G2" s="28"/>
      <c r="H2" s="28"/>
      <c r="I2" s="28"/>
      <c r="J2" s="28"/>
      <c r="K2" s="28"/>
      <c r="L2" s="28"/>
      <c r="M2" s="28"/>
      <c r="N2" s="28"/>
      <c r="O2" s="28"/>
      <c r="P2" s="28"/>
      <c r="Q2" s="28"/>
      <c r="R2" s="28"/>
      <c r="S2" s="28"/>
      <c r="T2" s="24"/>
    </row>
    <row r="3" spans="1:25" ht="20.25" customHeight="1" x14ac:dyDescent="0.25">
      <c r="B3" s="64"/>
      <c r="C3" s="315" t="s">
        <v>157</v>
      </c>
      <c r="D3" s="316"/>
      <c r="E3" s="316"/>
      <c r="F3" s="316"/>
      <c r="G3" s="316"/>
      <c r="H3" s="316"/>
      <c r="I3" s="316"/>
      <c r="J3" s="316"/>
      <c r="K3" s="316"/>
      <c r="L3" s="316"/>
      <c r="M3" s="316"/>
      <c r="N3" s="316"/>
      <c r="O3" s="316"/>
      <c r="P3" s="316"/>
      <c r="Q3" s="316"/>
      <c r="R3" s="316"/>
      <c r="S3" s="316"/>
      <c r="T3" s="25"/>
    </row>
    <row r="4" spans="1:25" ht="15.75" customHeight="1" x14ac:dyDescent="0.25">
      <c r="B4" s="64"/>
      <c r="C4" s="67" t="s">
        <v>430</v>
      </c>
      <c r="D4" s="29"/>
      <c r="E4" s="29"/>
      <c r="F4" s="29"/>
      <c r="G4" s="29"/>
      <c r="H4" s="29"/>
      <c r="I4" s="29"/>
      <c r="J4" s="29"/>
      <c r="K4" s="29"/>
      <c r="L4" s="29"/>
      <c r="M4" s="29"/>
      <c r="N4" s="29"/>
      <c r="O4" s="29"/>
      <c r="P4" s="29"/>
      <c r="Q4" s="29"/>
      <c r="R4" s="29"/>
      <c r="S4" s="29"/>
      <c r="T4" s="25"/>
    </row>
    <row r="5" spans="1:25" ht="18" customHeight="1" x14ac:dyDescent="0.25">
      <c r="B5" s="64"/>
      <c r="C5" s="211" t="s">
        <v>431</v>
      </c>
      <c r="D5" s="317" t="s">
        <v>400</v>
      </c>
      <c r="E5" s="317"/>
      <c r="F5" s="29"/>
      <c r="G5" s="29"/>
      <c r="H5" s="29"/>
      <c r="I5" s="29"/>
      <c r="J5" s="29"/>
      <c r="K5" s="29"/>
      <c r="L5" s="29"/>
      <c r="M5" s="29"/>
      <c r="N5" s="29"/>
      <c r="O5" s="29"/>
      <c r="P5" s="29"/>
      <c r="Q5" s="29"/>
      <c r="R5" s="29"/>
      <c r="S5" s="29"/>
      <c r="T5" s="25"/>
    </row>
    <row r="6" spans="1:25" ht="15" customHeight="1" x14ac:dyDescent="0.25">
      <c r="B6" s="64"/>
      <c r="C6" s="29"/>
      <c r="D6" s="29"/>
      <c r="E6" s="29"/>
      <c r="F6" s="29"/>
      <c r="G6" s="29"/>
      <c r="H6" s="29"/>
      <c r="I6" s="29"/>
      <c r="J6" s="29"/>
      <c r="K6" s="29"/>
      <c r="L6" s="29"/>
      <c r="M6" s="29"/>
      <c r="N6" s="29"/>
      <c r="O6" s="29"/>
      <c r="P6" s="29"/>
      <c r="Q6" s="29"/>
      <c r="R6" s="29"/>
      <c r="S6" s="29"/>
      <c r="T6" s="25"/>
      <c r="W6" s="39"/>
      <c r="X6" s="39"/>
      <c r="Y6" s="39"/>
    </row>
    <row r="7" spans="1:25" ht="32.25" customHeight="1" x14ac:dyDescent="0.25">
      <c r="B7" s="64"/>
      <c r="C7" s="120" t="s">
        <v>0</v>
      </c>
      <c r="D7" s="69" t="s">
        <v>44</v>
      </c>
      <c r="E7" s="70" t="s">
        <v>2</v>
      </c>
      <c r="F7" s="29"/>
      <c r="G7" s="29"/>
      <c r="H7" s="29"/>
      <c r="I7" s="29"/>
      <c r="J7" s="29"/>
      <c r="K7" s="29"/>
      <c r="L7" s="29"/>
      <c r="M7" s="29"/>
      <c r="N7" s="29"/>
      <c r="O7" s="29"/>
      <c r="P7" s="29"/>
      <c r="Q7" s="29"/>
      <c r="R7" s="29"/>
      <c r="S7" s="29"/>
      <c r="T7" s="25"/>
      <c r="W7" s="39" t="s">
        <v>22</v>
      </c>
      <c r="X7" s="39" t="s">
        <v>2</v>
      </c>
      <c r="Y7" s="39"/>
    </row>
    <row r="8" spans="1:25" ht="15" customHeight="1" x14ac:dyDescent="0.25">
      <c r="B8" s="64"/>
      <c r="C8" s="179" t="s">
        <v>32</v>
      </c>
      <c r="D8" s="180" t="s">
        <v>3</v>
      </c>
      <c r="E8" s="121">
        <v>3.9463999999999999E-2</v>
      </c>
      <c r="F8" s="29"/>
      <c r="G8" s="29"/>
      <c r="H8" s="29"/>
      <c r="I8" s="29"/>
      <c r="J8" s="29"/>
      <c r="K8" s="29"/>
      <c r="L8" s="29"/>
      <c r="M8" s="29"/>
      <c r="N8" s="29"/>
      <c r="O8" s="29"/>
      <c r="P8" s="29"/>
      <c r="Q8" s="29"/>
      <c r="R8" s="29"/>
      <c r="S8" s="29"/>
      <c r="T8" s="25"/>
      <c r="W8" s="280" t="s">
        <v>3</v>
      </c>
      <c r="X8" s="279">
        <v>0.11557300000000004</v>
      </c>
      <c r="Y8" s="39"/>
    </row>
    <row r="9" spans="1:25" ht="15.75" customHeight="1" x14ac:dyDescent="0.25">
      <c r="B9" s="64"/>
      <c r="C9" s="179" t="s">
        <v>29</v>
      </c>
      <c r="D9" s="180" t="s">
        <v>3</v>
      </c>
      <c r="E9" s="121">
        <v>3.1027000000000002E-2</v>
      </c>
      <c r="F9" s="29"/>
      <c r="G9" s="29"/>
      <c r="H9" s="29"/>
      <c r="I9" s="29"/>
      <c r="J9" s="29"/>
      <c r="K9" s="29"/>
      <c r="L9" s="29"/>
      <c r="M9" s="29"/>
      <c r="N9" s="29"/>
      <c r="O9" s="29"/>
      <c r="P9" s="29"/>
      <c r="Q9" s="29"/>
      <c r="R9" s="29"/>
      <c r="S9" s="29"/>
      <c r="T9" s="25"/>
      <c r="W9" s="280" t="s">
        <v>104</v>
      </c>
      <c r="X9" s="279">
        <v>5.2175000000000027E-2</v>
      </c>
      <c r="Y9" s="39"/>
    </row>
    <row r="10" spans="1:25" ht="15" customHeight="1" x14ac:dyDescent="0.25">
      <c r="B10" s="64"/>
      <c r="C10" s="179" t="s">
        <v>31</v>
      </c>
      <c r="D10" s="180" t="s">
        <v>6</v>
      </c>
      <c r="E10" s="121">
        <v>2.1547999999999998E-2</v>
      </c>
      <c r="F10" s="29"/>
      <c r="G10" s="29"/>
      <c r="H10" s="29"/>
      <c r="I10" s="29"/>
      <c r="J10" s="29"/>
      <c r="K10" s="29"/>
      <c r="L10" s="29"/>
      <c r="M10" s="29"/>
      <c r="N10" s="29"/>
      <c r="O10" s="29"/>
      <c r="P10" s="29"/>
      <c r="Q10" s="29"/>
      <c r="R10" s="29"/>
      <c r="S10" s="29"/>
      <c r="T10" s="25"/>
      <c r="W10" s="280" t="s">
        <v>108</v>
      </c>
      <c r="X10" s="279">
        <v>3.8255000000000004E-2</v>
      </c>
      <c r="Y10" s="39"/>
    </row>
    <row r="11" spans="1:25" ht="15" customHeight="1" x14ac:dyDescent="0.25">
      <c r="B11" s="64"/>
      <c r="C11" s="179" t="s">
        <v>28</v>
      </c>
      <c r="D11" s="180" t="s">
        <v>104</v>
      </c>
      <c r="E11" s="121">
        <v>2.0247000000000001E-2</v>
      </c>
      <c r="F11" s="29"/>
      <c r="G11" s="29"/>
      <c r="H11" s="29"/>
      <c r="I11" s="29"/>
      <c r="J11" s="29"/>
      <c r="K11" s="29"/>
      <c r="L11" s="29"/>
      <c r="M11" s="29"/>
      <c r="N11" s="29"/>
      <c r="O11" s="29"/>
      <c r="P11" s="29"/>
      <c r="Q11" s="29"/>
      <c r="R11" s="29"/>
      <c r="S11" s="29"/>
      <c r="T11" s="25"/>
      <c r="W11" s="280" t="s">
        <v>23</v>
      </c>
      <c r="X11" s="279">
        <v>2.172E-2</v>
      </c>
      <c r="Y11" s="39"/>
    </row>
    <row r="12" spans="1:25" ht="15" customHeight="1" x14ac:dyDescent="0.25">
      <c r="B12" s="64"/>
      <c r="C12" s="179" t="s">
        <v>189</v>
      </c>
      <c r="D12" s="180" t="s">
        <v>103</v>
      </c>
      <c r="E12" s="121">
        <v>1.8925999999999998E-2</v>
      </c>
      <c r="F12" s="29"/>
      <c r="G12" s="29"/>
      <c r="H12" s="29"/>
      <c r="I12" s="29"/>
      <c r="J12" s="29"/>
      <c r="K12" s="29"/>
      <c r="L12" s="29"/>
      <c r="M12" s="29"/>
      <c r="N12" s="29"/>
      <c r="O12" s="29"/>
      <c r="P12" s="29"/>
      <c r="Q12" s="29"/>
      <c r="R12" s="29"/>
      <c r="S12" s="29"/>
      <c r="T12" s="25"/>
      <c r="W12" s="280" t="s">
        <v>6</v>
      </c>
      <c r="X12" s="279">
        <v>2.1534999999999999E-2</v>
      </c>
      <c r="Y12" s="39"/>
    </row>
    <row r="13" spans="1:25" ht="15" customHeight="1" x14ac:dyDescent="0.25">
      <c r="B13" s="64"/>
      <c r="C13" s="179" t="s">
        <v>36</v>
      </c>
      <c r="D13" s="180" t="s">
        <v>3</v>
      </c>
      <c r="E13" s="121">
        <v>1.8768E-2</v>
      </c>
      <c r="F13" s="29"/>
      <c r="G13" s="29"/>
      <c r="H13" s="29"/>
      <c r="I13" s="29"/>
      <c r="J13" s="29"/>
      <c r="K13" s="29"/>
      <c r="L13" s="29"/>
      <c r="M13" s="29"/>
      <c r="N13" s="29"/>
      <c r="O13" s="29"/>
      <c r="P13" s="29"/>
      <c r="Q13" s="29"/>
      <c r="R13" s="29"/>
      <c r="S13" s="29"/>
      <c r="T13" s="25"/>
      <c r="W13" s="280" t="s">
        <v>4</v>
      </c>
      <c r="X13" s="279">
        <v>2.0931000000000005E-2</v>
      </c>
      <c r="Y13" s="39"/>
    </row>
    <row r="14" spans="1:25" ht="15.75" customHeight="1" x14ac:dyDescent="0.25">
      <c r="B14" s="64"/>
      <c r="C14" s="179" t="s">
        <v>70</v>
      </c>
      <c r="D14" s="180" t="s">
        <v>12</v>
      </c>
      <c r="E14" s="121">
        <v>1.7428000000000003E-2</v>
      </c>
      <c r="F14" s="29"/>
      <c r="G14" s="29"/>
      <c r="H14" s="29"/>
      <c r="I14" s="29"/>
      <c r="J14" s="29"/>
      <c r="K14" s="29"/>
      <c r="L14" s="29"/>
      <c r="M14" s="29"/>
      <c r="N14" s="29"/>
      <c r="O14" s="29"/>
      <c r="P14" s="29"/>
      <c r="Q14" s="29"/>
      <c r="R14" s="29"/>
      <c r="S14" s="29"/>
      <c r="T14" s="25"/>
      <c r="W14" s="280" t="s">
        <v>12</v>
      </c>
      <c r="X14" s="279">
        <v>2.0208000000000007E-2</v>
      </c>
      <c r="Y14" s="39"/>
    </row>
    <row r="15" spans="1:25" ht="15.75" x14ac:dyDescent="0.25">
      <c r="B15" s="64"/>
      <c r="C15" s="179" t="s">
        <v>76</v>
      </c>
      <c r="D15" s="180" t="s">
        <v>3</v>
      </c>
      <c r="E15" s="121">
        <v>1.5403999999999999E-2</v>
      </c>
      <c r="F15" s="29"/>
      <c r="G15" s="29"/>
      <c r="H15" s="29"/>
      <c r="I15" s="29"/>
      <c r="J15" s="29"/>
      <c r="K15" s="29"/>
      <c r="L15" s="29"/>
      <c r="M15" s="29"/>
      <c r="N15" s="29"/>
      <c r="O15" s="29"/>
      <c r="P15" s="29"/>
      <c r="Q15" s="29"/>
      <c r="R15" s="29"/>
      <c r="S15" s="29"/>
      <c r="T15" s="25"/>
      <c r="W15" s="280" t="s">
        <v>74</v>
      </c>
      <c r="X15" s="279">
        <v>1.8957000000000002E-2</v>
      </c>
      <c r="Y15" s="39"/>
    </row>
    <row r="16" spans="1:25" ht="15.75" customHeight="1" x14ac:dyDescent="0.25">
      <c r="B16" s="64"/>
      <c r="C16" s="179" t="s">
        <v>33</v>
      </c>
      <c r="D16" s="180" t="s">
        <v>104</v>
      </c>
      <c r="E16" s="121">
        <v>1.406E-2</v>
      </c>
      <c r="F16" s="29"/>
      <c r="G16" s="29"/>
      <c r="H16" s="29"/>
      <c r="I16" s="29"/>
      <c r="J16" s="29"/>
      <c r="K16" s="29"/>
      <c r="L16" s="29"/>
      <c r="M16" s="29"/>
      <c r="N16" s="29"/>
      <c r="O16" s="29"/>
      <c r="P16" s="29"/>
      <c r="Q16" s="29"/>
      <c r="R16" s="29"/>
      <c r="S16" s="29"/>
      <c r="T16" s="25"/>
      <c r="W16" s="280" t="s">
        <v>103</v>
      </c>
      <c r="X16" s="279">
        <v>1.8853999999999999E-2</v>
      </c>
      <c r="Y16" s="39"/>
    </row>
    <row r="17" spans="2:25" ht="15" customHeight="1" x14ac:dyDescent="0.25">
      <c r="B17" s="64"/>
      <c r="C17" s="179" t="s">
        <v>258</v>
      </c>
      <c r="D17" s="180" t="s">
        <v>179</v>
      </c>
      <c r="E17" s="121">
        <v>1.3764E-2</v>
      </c>
      <c r="F17" s="29"/>
      <c r="G17" s="29"/>
      <c r="H17" s="29"/>
      <c r="I17" s="29"/>
      <c r="J17" s="29"/>
      <c r="K17" s="29"/>
      <c r="L17" s="29"/>
      <c r="M17" s="29"/>
      <c r="N17" s="29"/>
      <c r="O17" s="29"/>
      <c r="P17" s="29"/>
      <c r="Q17" s="29"/>
      <c r="R17" s="29"/>
      <c r="S17" s="29"/>
      <c r="T17" s="25"/>
      <c r="W17" s="280" t="s">
        <v>26</v>
      </c>
      <c r="X17" s="279">
        <v>1.8178E-2</v>
      </c>
      <c r="Y17" s="39"/>
    </row>
    <row r="18" spans="2:25" ht="15" customHeight="1" x14ac:dyDescent="0.25">
      <c r="B18" s="64"/>
      <c r="C18" s="179" t="s">
        <v>78</v>
      </c>
      <c r="D18" s="180" t="s">
        <v>4</v>
      </c>
      <c r="E18" s="121">
        <v>1.2046000000000001E-2</v>
      </c>
      <c r="F18" s="29"/>
      <c r="G18" s="29"/>
      <c r="H18" s="29"/>
      <c r="I18" s="29"/>
      <c r="J18" s="29"/>
      <c r="K18" s="29"/>
      <c r="L18" s="29"/>
      <c r="M18" s="29"/>
      <c r="N18" s="29"/>
      <c r="O18" s="29"/>
      <c r="P18" s="29"/>
      <c r="Q18" s="29"/>
      <c r="R18" s="29"/>
      <c r="S18" s="29"/>
      <c r="T18" s="25"/>
      <c r="W18" s="280" t="s">
        <v>121</v>
      </c>
      <c r="X18" s="279">
        <v>1.4361000000000001E-2</v>
      </c>
      <c r="Y18" s="39"/>
    </row>
    <row r="19" spans="2:25" ht="15" customHeight="1" x14ac:dyDescent="0.25">
      <c r="B19" s="64"/>
      <c r="C19" s="179" t="s">
        <v>34</v>
      </c>
      <c r="D19" s="180" t="s">
        <v>23</v>
      </c>
      <c r="E19" s="121">
        <v>1.1899E-2</v>
      </c>
      <c r="F19" s="29"/>
      <c r="G19" s="29"/>
      <c r="H19" s="29"/>
      <c r="I19" s="29"/>
      <c r="J19" s="29"/>
      <c r="K19" s="29"/>
      <c r="L19" s="29"/>
      <c r="M19" s="29"/>
      <c r="N19" s="29"/>
      <c r="O19" s="29"/>
      <c r="P19" s="29"/>
      <c r="Q19" s="29"/>
      <c r="R19" s="29"/>
      <c r="S19" s="29"/>
      <c r="T19" s="25"/>
      <c r="W19" s="280" t="s">
        <v>179</v>
      </c>
      <c r="X19" s="279">
        <v>1.3764E-2</v>
      </c>
      <c r="Y19" s="39"/>
    </row>
    <row r="20" spans="2:25" ht="15" customHeight="1" x14ac:dyDescent="0.25">
      <c r="B20" s="64"/>
      <c r="C20" s="179" t="s">
        <v>307</v>
      </c>
      <c r="D20" s="180" t="s">
        <v>115</v>
      </c>
      <c r="E20" s="121">
        <v>1.0168E-2</v>
      </c>
      <c r="F20" s="29"/>
      <c r="G20" s="29"/>
      <c r="H20" s="29"/>
      <c r="I20" s="29"/>
      <c r="J20" s="29"/>
      <c r="K20" s="29"/>
      <c r="L20" s="29"/>
      <c r="M20" s="29"/>
      <c r="N20" s="29"/>
      <c r="O20" s="29"/>
      <c r="P20" s="29"/>
      <c r="Q20" s="29"/>
      <c r="R20" s="29"/>
      <c r="S20" s="29"/>
      <c r="T20" s="25"/>
      <c r="W20" s="280" t="s">
        <v>110</v>
      </c>
      <c r="X20" s="279">
        <v>1.2298E-2</v>
      </c>
      <c r="Y20" s="39"/>
    </row>
    <row r="21" spans="2:25" ht="15" customHeight="1" x14ac:dyDescent="0.25">
      <c r="B21" s="64"/>
      <c r="C21" s="179" t="s">
        <v>241</v>
      </c>
      <c r="D21" s="180" t="s">
        <v>74</v>
      </c>
      <c r="E21" s="121">
        <v>9.9030000000000003E-3</v>
      </c>
      <c r="F21" s="29"/>
      <c r="G21" s="29"/>
      <c r="H21" s="29"/>
      <c r="I21" s="29"/>
      <c r="J21" s="29"/>
      <c r="K21" s="29"/>
      <c r="L21" s="29"/>
      <c r="M21" s="29"/>
      <c r="N21" s="29"/>
      <c r="O21" s="29"/>
      <c r="P21" s="29"/>
      <c r="Q21" s="29"/>
      <c r="R21" s="29"/>
      <c r="S21" s="29"/>
      <c r="T21" s="25"/>
      <c r="W21" s="280" t="s">
        <v>10</v>
      </c>
      <c r="X21" s="279">
        <v>1.1066999999999999E-2</v>
      </c>
      <c r="Y21" s="39"/>
    </row>
    <row r="22" spans="2:25" ht="15" customHeight="1" x14ac:dyDescent="0.25">
      <c r="B22" s="64"/>
      <c r="C22" s="179" t="s">
        <v>142</v>
      </c>
      <c r="D22" s="180" t="s">
        <v>121</v>
      </c>
      <c r="E22" s="121">
        <v>8.8940000000000009E-3</v>
      </c>
      <c r="F22" s="29"/>
      <c r="G22" s="29"/>
      <c r="H22" s="29"/>
      <c r="I22" s="29"/>
      <c r="J22" s="29"/>
      <c r="K22" s="29"/>
      <c r="L22" s="29"/>
      <c r="M22" s="29"/>
      <c r="N22" s="29"/>
      <c r="O22" s="29"/>
      <c r="P22" s="29"/>
      <c r="Q22" s="29"/>
      <c r="R22" s="29"/>
      <c r="S22" s="29"/>
      <c r="T22" s="25"/>
      <c r="W22" s="280" t="s">
        <v>115</v>
      </c>
      <c r="X22" s="279">
        <v>1.0159999999999999E-2</v>
      </c>
      <c r="Y22" s="39"/>
    </row>
    <row r="23" spans="2:25" ht="16.5" customHeight="1" x14ac:dyDescent="0.25">
      <c r="B23" s="64"/>
      <c r="C23" s="122" t="s">
        <v>65</v>
      </c>
      <c r="D23" s="123"/>
      <c r="E23" s="124">
        <f>SUM(E8:E22)</f>
        <v>0.263546</v>
      </c>
      <c r="F23" s="29"/>
      <c r="G23" s="29"/>
      <c r="H23" s="29"/>
      <c r="I23" s="29"/>
      <c r="J23" s="29"/>
      <c r="K23" s="29"/>
      <c r="L23" s="29"/>
      <c r="M23" s="29"/>
      <c r="N23" s="29"/>
      <c r="O23" s="29"/>
      <c r="P23" s="29"/>
      <c r="Q23" s="29"/>
      <c r="R23" s="29"/>
      <c r="S23" s="29"/>
      <c r="T23" s="25"/>
      <c r="W23" s="280" t="s">
        <v>82</v>
      </c>
      <c r="X23" s="279">
        <v>9.2499999999999978E-3</v>
      </c>
      <c r="Y23" s="39"/>
    </row>
    <row r="24" spans="2:25" ht="15" customHeight="1" x14ac:dyDescent="0.25">
      <c r="B24" s="64"/>
      <c r="C24" s="125"/>
      <c r="D24" s="82"/>
      <c r="E24" s="121"/>
      <c r="F24" s="29"/>
      <c r="G24" s="29"/>
      <c r="H24" s="29"/>
      <c r="I24" s="29"/>
      <c r="J24" s="29"/>
      <c r="K24" s="29"/>
      <c r="L24" s="29"/>
      <c r="M24" s="29"/>
      <c r="N24" s="29"/>
      <c r="O24" s="29"/>
      <c r="P24" s="29"/>
      <c r="Q24" s="29"/>
      <c r="R24" s="29"/>
      <c r="S24" s="29"/>
      <c r="T24" s="25"/>
      <c r="W24" s="280" t="s">
        <v>109</v>
      </c>
      <c r="X24" s="279">
        <v>8.9640000000000032E-3</v>
      </c>
      <c r="Y24" s="39"/>
    </row>
    <row r="25" spans="2:25" ht="15" customHeight="1" x14ac:dyDescent="0.25">
      <c r="B25" s="64"/>
      <c r="C25" s="122" t="s">
        <v>59</v>
      </c>
      <c r="D25" s="123"/>
      <c r="E25" s="181">
        <v>0.22107199999999999</v>
      </c>
      <c r="F25" s="29"/>
      <c r="G25" s="29"/>
      <c r="H25" s="29"/>
      <c r="I25" s="29"/>
      <c r="J25" s="29"/>
      <c r="K25" s="29"/>
      <c r="L25" s="29"/>
      <c r="M25" s="29"/>
      <c r="N25" s="29"/>
      <c r="O25" s="29"/>
      <c r="P25" s="29"/>
      <c r="Q25" s="29"/>
      <c r="R25" s="29"/>
      <c r="S25" s="29"/>
      <c r="T25" s="25"/>
      <c r="W25" s="280" t="s">
        <v>130</v>
      </c>
      <c r="X25" s="279">
        <v>8.6430000000000014E-3</v>
      </c>
      <c r="Y25" s="39"/>
    </row>
    <row r="26" spans="2:25" ht="15" customHeight="1" x14ac:dyDescent="0.25">
      <c r="B26" s="64"/>
      <c r="C26" s="125"/>
      <c r="D26" s="82"/>
      <c r="E26" s="121"/>
      <c r="F26" s="29"/>
      <c r="G26" s="29"/>
      <c r="H26" s="29"/>
      <c r="I26" s="29"/>
      <c r="J26" s="29"/>
      <c r="K26" s="29"/>
      <c r="L26" s="29"/>
      <c r="M26" s="29"/>
      <c r="N26" s="29"/>
      <c r="O26" s="29"/>
      <c r="P26" s="29"/>
      <c r="Q26" s="29"/>
      <c r="R26" s="29"/>
      <c r="S26" s="29"/>
      <c r="T26" s="25"/>
      <c r="W26" s="280" t="s">
        <v>80</v>
      </c>
      <c r="X26" s="279">
        <v>8.4259999999999995E-3</v>
      </c>
      <c r="Y26" s="39"/>
    </row>
    <row r="27" spans="2:25" ht="18" customHeight="1" x14ac:dyDescent="0.25">
      <c r="B27" s="64"/>
      <c r="C27" s="122" t="s">
        <v>58</v>
      </c>
      <c r="D27" s="106"/>
      <c r="E27" s="182">
        <v>0.33053199999999999</v>
      </c>
      <c r="F27" s="29"/>
      <c r="G27" s="29"/>
      <c r="H27" s="29"/>
      <c r="I27" s="29"/>
      <c r="J27" s="29"/>
      <c r="K27" s="29"/>
      <c r="L27" s="29"/>
      <c r="M27" s="29"/>
      <c r="N27" s="29"/>
      <c r="O27" s="29"/>
      <c r="P27" s="29"/>
      <c r="Q27" s="29"/>
      <c r="R27" s="29"/>
      <c r="S27" s="29"/>
      <c r="T27" s="25"/>
      <c r="W27" s="280" t="s">
        <v>25</v>
      </c>
      <c r="X27" s="279">
        <v>7.0720000000000002E-3</v>
      </c>
    </row>
    <row r="28" spans="2:25" ht="18" customHeight="1" x14ac:dyDescent="0.25">
      <c r="B28" s="64"/>
      <c r="C28" s="225" t="s">
        <v>36</v>
      </c>
      <c r="D28" s="226" t="s">
        <v>313</v>
      </c>
      <c r="E28" s="121">
        <v>3.0415999999999999E-2</v>
      </c>
      <c r="F28" s="29"/>
      <c r="G28" s="29"/>
      <c r="H28" s="29"/>
      <c r="I28" s="29"/>
      <c r="J28" s="29"/>
      <c r="K28" s="29"/>
      <c r="L28" s="29"/>
      <c r="M28" s="29"/>
      <c r="N28" s="29"/>
      <c r="O28" s="29"/>
      <c r="P28" s="29"/>
      <c r="Q28" s="29"/>
      <c r="R28" s="29"/>
      <c r="S28" s="29"/>
      <c r="T28" s="25"/>
      <c r="W28" s="280" t="s">
        <v>113</v>
      </c>
      <c r="X28" s="279">
        <v>4.9179999999999996E-3</v>
      </c>
    </row>
    <row r="29" spans="2:25" ht="15" customHeight="1" x14ac:dyDescent="0.25">
      <c r="B29" s="64"/>
      <c r="C29" s="227" t="s">
        <v>280</v>
      </c>
      <c r="D29" s="226" t="s">
        <v>313</v>
      </c>
      <c r="E29" s="121">
        <v>1.3047E-2</v>
      </c>
      <c r="F29" s="29"/>
      <c r="G29" s="29"/>
      <c r="H29" s="29"/>
      <c r="I29" s="29"/>
      <c r="J29" s="29"/>
      <c r="K29" s="29"/>
      <c r="L29" s="29"/>
      <c r="M29" s="29"/>
      <c r="N29" s="29"/>
      <c r="O29" s="29"/>
      <c r="P29" s="29"/>
      <c r="Q29" s="29"/>
      <c r="R29" s="29"/>
      <c r="S29" s="29"/>
      <c r="T29" s="25"/>
      <c r="W29" s="280" t="s">
        <v>24</v>
      </c>
      <c r="X29" s="279">
        <v>4.6309999999999997E-3</v>
      </c>
    </row>
    <row r="30" spans="2:25" ht="15" customHeight="1" x14ac:dyDescent="0.25">
      <c r="B30" s="64"/>
      <c r="C30" s="127" t="s">
        <v>312</v>
      </c>
      <c r="D30" s="123"/>
      <c r="E30" s="124">
        <v>4.3463000000000002E-2</v>
      </c>
      <c r="F30" s="29"/>
      <c r="G30" s="126"/>
      <c r="H30" s="29"/>
      <c r="I30" s="29"/>
      <c r="J30" s="29"/>
      <c r="K30" s="29"/>
      <c r="L30" s="29"/>
      <c r="M30" s="29"/>
      <c r="N30" s="29"/>
      <c r="O30" s="29"/>
      <c r="P30" s="29"/>
      <c r="Q30" s="29"/>
      <c r="R30" s="29"/>
      <c r="S30" s="29"/>
      <c r="T30" s="25"/>
      <c r="W30" s="280" t="s">
        <v>84</v>
      </c>
      <c r="X30" s="279">
        <v>4.5360000000000001E-3</v>
      </c>
    </row>
    <row r="31" spans="2:25" ht="15" customHeight="1" x14ac:dyDescent="0.25">
      <c r="B31" s="64"/>
      <c r="C31" s="227"/>
      <c r="D31" s="226"/>
      <c r="E31" s="239"/>
      <c r="F31" s="29"/>
      <c r="G31" s="126"/>
      <c r="H31" s="29"/>
      <c r="I31" s="29"/>
      <c r="J31" s="29"/>
      <c r="K31" s="29"/>
      <c r="L31" s="29"/>
      <c r="M31" s="29"/>
      <c r="N31" s="29"/>
      <c r="O31" s="29"/>
      <c r="P31" s="29"/>
      <c r="Q31" s="29"/>
      <c r="R31" s="29"/>
      <c r="S31" s="29"/>
      <c r="T31" s="25"/>
      <c r="W31" s="280" t="s">
        <v>83</v>
      </c>
      <c r="X31" s="279">
        <v>4.1630000000000009E-3</v>
      </c>
    </row>
    <row r="32" spans="2:25" ht="15" customHeight="1" x14ac:dyDescent="0.25">
      <c r="B32" s="64"/>
      <c r="C32" s="225" t="s">
        <v>292</v>
      </c>
      <c r="D32" s="226" t="s">
        <v>349</v>
      </c>
      <c r="E32" s="121">
        <v>2.251E-3</v>
      </c>
      <c r="F32" s="29"/>
      <c r="G32" s="126"/>
      <c r="H32" s="29"/>
      <c r="I32" s="29"/>
      <c r="J32" s="29"/>
      <c r="K32" s="29"/>
      <c r="L32" s="29"/>
      <c r="M32" s="29"/>
      <c r="N32" s="29"/>
      <c r="O32" s="29"/>
      <c r="P32" s="29"/>
      <c r="Q32" s="29"/>
      <c r="R32" s="29"/>
      <c r="S32" s="29"/>
      <c r="T32" s="25"/>
      <c r="W32" s="280" t="s">
        <v>81</v>
      </c>
      <c r="X32" s="279">
        <v>3.8110000000000002E-3</v>
      </c>
    </row>
    <row r="33" spans="2:24" ht="15" customHeight="1" x14ac:dyDescent="0.25">
      <c r="B33" s="64"/>
      <c r="C33" s="225" t="s">
        <v>248</v>
      </c>
      <c r="D33" s="226" t="s">
        <v>351</v>
      </c>
      <c r="E33" s="121">
        <v>6.7140000000000003E-3</v>
      </c>
      <c r="F33" s="29"/>
      <c r="G33" s="126"/>
      <c r="H33" s="29"/>
      <c r="I33" s="29"/>
      <c r="J33" s="29"/>
      <c r="K33" s="29"/>
      <c r="L33" s="29"/>
      <c r="M33" s="29"/>
      <c r="N33" s="29"/>
      <c r="O33" s="29"/>
      <c r="P33" s="29"/>
      <c r="Q33" s="29"/>
      <c r="R33" s="29"/>
      <c r="S33" s="29"/>
      <c r="T33" s="25"/>
      <c r="W33" s="280" t="s">
        <v>119</v>
      </c>
      <c r="X33" s="279">
        <v>2.8049999999999998E-3</v>
      </c>
    </row>
    <row r="34" spans="2:24" ht="15" customHeight="1" x14ac:dyDescent="0.25">
      <c r="B34" s="64"/>
      <c r="C34" s="227" t="s">
        <v>308</v>
      </c>
      <c r="D34" s="226" t="s">
        <v>351</v>
      </c>
      <c r="E34" s="121">
        <v>2.2569999999999999E-3</v>
      </c>
      <c r="F34" s="29"/>
      <c r="G34" s="126"/>
      <c r="H34" s="29"/>
      <c r="L34" s="29"/>
      <c r="M34" s="29"/>
      <c r="N34" s="29"/>
      <c r="O34" s="29"/>
      <c r="P34" s="29"/>
      <c r="Q34" s="29"/>
      <c r="R34" s="29"/>
      <c r="S34" s="29"/>
      <c r="T34" s="25"/>
      <c r="W34" s="280" t="s">
        <v>114</v>
      </c>
      <c r="X34" s="279">
        <v>2.5530000000000023E-3</v>
      </c>
    </row>
    <row r="35" spans="2:24" ht="15" customHeight="1" x14ac:dyDescent="0.25">
      <c r="B35" s="64"/>
      <c r="C35" s="227" t="s">
        <v>29</v>
      </c>
      <c r="D35" s="226" t="s">
        <v>350</v>
      </c>
      <c r="E35" s="121">
        <v>2.2039999999999998E-3</v>
      </c>
      <c r="F35" s="29"/>
      <c r="G35" s="126"/>
      <c r="H35" s="29"/>
      <c r="I35" s="29"/>
      <c r="J35" s="29"/>
      <c r="K35" s="29"/>
      <c r="L35" s="29"/>
      <c r="M35" s="29"/>
      <c r="N35" s="29"/>
      <c r="O35" s="29"/>
      <c r="P35" s="29"/>
      <c r="Q35" s="29"/>
      <c r="R35" s="29"/>
      <c r="S35" s="29"/>
      <c r="T35" s="25"/>
      <c r="W35" s="280" t="s">
        <v>16</v>
      </c>
      <c r="X35" s="279">
        <v>2.4709999999999988E-3</v>
      </c>
    </row>
    <row r="36" spans="2:24" ht="15" customHeight="1" x14ac:dyDescent="0.25">
      <c r="B36" s="64"/>
      <c r="C36" s="127" t="s">
        <v>5</v>
      </c>
      <c r="D36" s="123"/>
      <c r="E36" s="124">
        <v>1.3426E-2</v>
      </c>
      <c r="F36" s="29"/>
      <c r="G36" s="126"/>
      <c r="H36" s="29"/>
      <c r="I36" s="29"/>
      <c r="J36" s="29"/>
      <c r="K36" s="29"/>
      <c r="L36" s="29"/>
      <c r="M36" s="29"/>
      <c r="N36" s="29"/>
      <c r="O36" s="29"/>
      <c r="P36" s="29"/>
      <c r="Q36" s="29"/>
      <c r="R36" s="29"/>
      <c r="S36" s="29"/>
      <c r="T36" s="25"/>
      <c r="W36" s="280" t="s">
        <v>134</v>
      </c>
      <c r="X36" s="279">
        <v>1.797E-3</v>
      </c>
    </row>
    <row r="37" spans="2:24" ht="15" customHeight="1" x14ac:dyDescent="0.25">
      <c r="B37" s="64"/>
      <c r="C37" s="134"/>
      <c r="D37" s="135"/>
      <c r="E37" s="220"/>
      <c r="F37" s="29"/>
      <c r="G37" s="126"/>
      <c r="H37" s="29"/>
      <c r="I37" s="29"/>
      <c r="J37" s="29"/>
      <c r="K37" s="29"/>
      <c r="L37" s="29"/>
      <c r="M37" s="29"/>
      <c r="N37" s="29"/>
      <c r="O37" s="29"/>
      <c r="P37" s="29"/>
      <c r="Q37" s="29"/>
      <c r="R37" s="29"/>
      <c r="S37" s="29"/>
      <c r="T37" s="25"/>
      <c r="W37" s="280" t="s">
        <v>107</v>
      </c>
      <c r="X37" s="279">
        <v>1.591E-3</v>
      </c>
    </row>
    <row r="38" spans="2:24" ht="15" customHeight="1" x14ac:dyDescent="0.25">
      <c r="B38" s="64"/>
      <c r="C38" s="134" t="s">
        <v>212</v>
      </c>
      <c r="D38" s="135" t="s">
        <v>61</v>
      </c>
      <c r="E38" s="220">
        <v>4.9190999999999999E-2</v>
      </c>
      <c r="F38" s="29"/>
      <c r="G38" s="126"/>
      <c r="H38" s="29"/>
      <c r="I38" s="29"/>
      <c r="J38" s="29"/>
      <c r="K38" s="29"/>
      <c r="L38" s="29"/>
      <c r="M38" s="29"/>
      <c r="N38" s="29"/>
      <c r="O38" s="29"/>
      <c r="P38" s="29"/>
      <c r="Q38" s="29"/>
      <c r="R38" s="29"/>
      <c r="S38" s="29"/>
      <c r="T38" s="25"/>
      <c r="W38" s="280" t="s">
        <v>92</v>
      </c>
      <c r="X38" s="279">
        <v>1.122E-3</v>
      </c>
    </row>
    <row r="39" spans="2:24" ht="15" customHeight="1" x14ac:dyDescent="0.25">
      <c r="B39" s="64"/>
      <c r="C39" s="134" t="s">
        <v>188</v>
      </c>
      <c r="D39" s="135" t="s">
        <v>61</v>
      </c>
      <c r="E39" s="220">
        <v>4.1605999999999997E-2</v>
      </c>
      <c r="F39" s="29"/>
      <c r="G39" s="126"/>
      <c r="H39" s="29"/>
      <c r="I39" s="29"/>
      <c r="J39" s="29"/>
      <c r="K39" s="29"/>
      <c r="L39" s="29"/>
      <c r="M39" s="29"/>
      <c r="N39" s="29"/>
      <c r="O39" s="29"/>
      <c r="P39" s="29"/>
      <c r="Q39" s="29"/>
      <c r="R39" s="29"/>
      <c r="S39" s="29"/>
      <c r="T39" s="25"/>
      <c r="W39" s="280" t="s">
        <v>116</v>
      </c>
      <c r="X39" s="279">
        <v>-3.6000000000000441E-5</v>
      </c>
    </row>
    <row r="40" spans="2:24" ht="15" customHeight="1" x14ac:dyDescent="0.25">
      <c r="B40" s="64"/>
      <c r="C40" s="134" t="s">
        <v>192</v>
      </c>
      <c r="D40" s="135" t="s">
        <v>61</v>
      </c>
      <c r="E40" s="220">
        <v>1.1764E-2</v>
      </c>
      <c r="F40" s="29"/>
      <c r="G40" s="29"/>
      <c r="H40" s="29"/>
      <c r="I40" s="128"/>
      <c r="J40" s="29"/>
      <c r="K40" s="29"/>
      <c r="L40" s="29"/>
      <c r="M40" s="29"/>
      <c r="N40" s="29"/>
      <c r="O40" s="29"/>
      <c r="P40" s="29"/>
      <c r="Q40" s="29"/>
      <c r="R40" s="29"/>
      <c r="S40" s="29"/>
      <c r="T40" s="25"/>
      <c r="W40" s="280" t="s">
        <v>11</v>
      </c>
      <c r="X40" s="279">
        <v>-5.2000000000001698E-5</v>
      </c>
    </row>
    <row r="41" spans="2:24" ht="15" customHeight="1" x14ac:dyDescent="0.25">
      <c r="B41" s="64"/>
      <c r="C41" s="122" t="s">
        <v>269</v>
      </c>
      <c r="D41" s="106"/>
      <c r="E41" s="124">
        <v>0.102561</v>
      </c>
      <c r="F41" s="29"/>
      <c r="G41" s="29"/>
      <c r="H41" s="29"/>
      <c r="I41" s="128"/>
      <c r="J41" s="29"/>
      <c r="K41" s="29"/>
      <c r="L41" s="29"/>
      <c r="M41" s="29"/>
      <c r="N41" s="29"/>
      <c r="O41" s="29"/>
      <c r="P41" s="29"/>
      <c r="Q41" s="29"/>
      <c r="R41" s="29"/>
      <c r="S41" s="29"/>
      <c r="T41" s="25"/>
      <c r="W41" s="280" t="s">
        <v>118</v>
      </c>
      <c r="X41" s="279">
        <v>-6.8999999999999617E-5</v>
      </c>
    </row>
    <row r="42" spans="2:24" ht="15" customHeight="1" x14ac:dyDescent="0.25">
      <c r="B42" s="64"/>
      <c r="C42" s="130"/>
      <c r="D42" s="131"/>
      <c r="E42" s="132"/>
      <c r="F42" s="29"/>
      <c r="G42" s="29"/>
      <c r="H42" s="29"/>
      <c r="I42" s="128"/>
      <c r="J42" s="29"/>
      <c r="K42" s="29"/>
      <c r="L42" s="29"/>
      <c r="M42" s="29"/>
      <c r="N42" s="29"/>
      <c r="O42" s="29"/>
      <c r="P42" s="29"/>
      <c r="Q42" s="29"/>
      <c r="R42" s="29"/>
      <c r="S42" s="29"/>
      <c r="T42" s="25"/>
      <c r="W42" s="221"/>
      <c r="X42" s="224"/>
    </row>
    <row r="43" spans="2:24" ht="15" customHeight="1" x14ac:dyDescent="0.25">
      <c r="B43" s="64"/>
      <c r="C43" s="134" t="s">
        <v>271</v>
      </c>
      <c r="D43" s="226" t="s">
        <v>350</v>
      </c>
      <c r="E43" s="220">
        <v>1.3982E-2</v>
      </c>
      <c r="F43" s="29"/>
      <c r="G43" s="29"/>
      <c r="H43" s="29"/>
      <c r="I43" s="128"/>
      <c r="J43" s="29"/>
      <c r="K43" s="29"/>
      <c r="L43" s="29"/>
      <c r="M43" s="29"/>
      <c r="N43" s="29"/>
      <c r="O43" s="29"/>
      <c r="P43" s="29"/>
      <c r="Q43" s="29"/>
      <c r="R43" s="29"/>
      <c r="S43" s="29"/>
      <c r="T43" s="25"/>
      <c r="W43" s="221"/>
      <c r="X43" s="224"/>
    </row>
    <row r="44" spans="2:24" ht="15" customHeight="1" x14ac:dyDescent="0.25">
      <c r="B44" s="64"/>
      <c r="C44" s="122" t="s">
        <v>270</v>
      </c>
      <c r="D44" s="106"/>
      <c r="E44" s="124">
        <v>1.3982E-2</v>
      </c>
      <c r="F44" s="29"/>
      <c r="G44" s="29"/>
      <c r="H44" s="29"/>
      <c r="I44" s="128"/>
      <c r="J44" s="29"/>
      <c r="K44" s="29"/>
      <c r="L44" s="29"/>
      <c r="M44" s="29"/>
      <c r="N44" s="29"/>
      <c r="O44" s="29"/>
      <c r="P44" s="29"/>
      <c r="Q44" s="29"/>
      <c r="R44" s="29"/>
      <c r="S44" s="29"/>
      <c r="T44" s="25"/>
      <c r="W44" s="221"/>
      <c r="X44" s="224"/>
    </row>
    <row r="45" spans="2:24" s="53" customFormat="1" ht="15" customHeight="1" x14ac:dyDescent="0.25">
      <c r="B45" s="129"/>
      <c r="C45" s="130"/>
      <c r="D45" s="131"/>
      <c r="E45" s="132"/>
      <c r="F45" s="51"/>
      <c r="G45" s="51"/>
      <c r="H45" s="51"/>
      <c r="I45" s="133"/>
      <c r="J45" s="51"/>
      <c r="K45" s="51"/>
      <c r="L45" s="51"/>
      <c r="M45" s="51"/>
      <c r="N45" s="51"/>
      <c r="O45" s="51"/>
      <c r="P45" s="51"/>
      <c r="Q45" s="51"/>
      <c r="R45" s="51"/>
      <c r="S45" s="51"/>
      <c r="T45" s="52"/>
      <c r="W45" s="221"/>
      <c r="X45" s="224"/>
    </row>
    <row r="46" spans="2:24" s="53" customFormat="1" ht="15" customHeight="1" x14ac:dyDescent="0.25">
      <c r="B46" s="129"/>
      <c r="C46" s="136" t="s">
        <v>68</v>
      </c>
      <c r="D46" s="137"/>
      <c r="E46" s="181">
        <v>1.141800000000001E-2</v>
      </c>
      <c r="F46" s="51"/>
      <c r="G46" s="51"/>
      <c r="H46" s="51"/>
      <c r="I46" s="133"/>
      <c r="J46" s="51"/>
      <c r="K46" s="51"/>
      <c r="L46" s="51"/>
      <c r="M46" s="51"/>
      <c r="N46" s="51"/>
      <c r="O46" s="51"/>
      <c r="P46" s="51"/>
      <c r="Q46" s="51"/>
      <c r="R46" s="51"/>
      <c r="S46" s="51"/>
      <c r="T46" s="52"/>
      <c r="W46" s="221"/>
      <c r="X46" s="224"/>
    </row>
    <row r="47" spans="2:24" s="53" customFormat="1" ht="15" customHeight="1" x14ac:dyDescent="0.25">
      <c r="B47" s="129"/>
      <c r="C47" s="138"/>
      <c r="D47" s="111"/>
      <c r="E47" s="139"/>
      <c r="F47" s="51"/>
      <c r="G47" s="51"/>
      <c r="H47" s="51"/>
      <c r="I47" s="133"/>
      <c r="J47" s="51"/>
      <c r="K47" s="51"/>
      <c r="L47" s="51"/>
      <c r="M47" s="51"/>
      <c r="N47" s="51"/>
      <c r="O47" s="51"/>
      <c r="P47" s="51"/>
      <c r="Q47" s="51"/>
      <c r="R47" s="51"/>
      <c r="S47" s="51"/>
      <c r="T47" s="52"/>
      <c r="W47" s="221"/>
      <c r="X47" s="224"/>
    </row>
    <row r="48" spans="2:24" s="53" customFormat="1" ht="15" customHeight="1" x14ac:dyDescent="0.25">
      <c r="B48" s="129"/>
      <c r="C48" s="140" t="s">
        <v>21</v>
      </c>
      <c r="D48" s="74"/>
      <c r="E48" s="75">
        <f>E46+E41+E36+E27+E25+E23+E44+E30</f>
        <v>1</v>
      </c>
      <c r="F48" s="51"/>
      <c r="G48" s="51"/>
      <c r="H48" s="51"/>
      <c r="I48" s="133"/>
      <c r="J48" s="51"/>
      <c r="K48" s="51"/>
      <c r="L48" s="51"/>
      <c r="M48" s="51"/>
      <c r="N48" s="51"/>
      <c r="O48" s="51"/>
      <c r="P48" s="51"/>
      <c r="Q48" s="51"/>
      <c r="R48" s="51"/>
      <c r="S48" s="51"/>
      <c r="T48" s="52"/>
      <c r="W48" s="221"/>
      <c r="X48" s="224"/>
    </row>
    <row r="49" spans="2:24" s="53" customFormat="1" ht="15" customHeight="1" x14ac:dyDescent="0.25">
      <c r="B49" s="129"/>
      <c r="F49" s="51"/>
      <c r="G49" s="51"/>
      <c r="H49" s="51"/>
      <c r="I49" s="133"/>
      <c r="J49" s="51"/>
      <c r="K49" s="51"/>
      <c r="L49" s="51"/>
      <c r="M49" s="51"/>
      <c r="N49" s="51"/>
      <c r="O49" s="51"/>
      <c r="P49" s="51"/>
      <c r="Q49" s="51"/>
      <c r="R49" s="51"/>
      <c r="S49" s="51"/>
      <c r="T49" s="52"/>
      <c r="W49" s="221"/>
      <c r="X49" s="224"/>
    </row>
    <row r="50" spans="2:24" ht="15" customHeight="1" thickBot="1" x14ac:dyDescent="0.3">
      <c r="B50" s="76"/>
      <c r="C50" s="30"/>
      <c r="D50" s="30"/>
      <c r="E50" s="30"/>
      <c r="F50" s="30"/>
      <c r="G50" s="30"/>
      <c r="H50" s="30"/>
      <c r="I50" s="30"/>
      <c r="J50" s="30"/>
      <c r="K50" s="30"/>
      <c r="L50" s="30"/>
      <c r="M50" s="30"/>
      <c r="N50" s="30"/>
      <c r="O50" s="30"/>
      <c r="P50" s="30"/>
      <c r="Q50" s="30"/>
      <c r="R50" s="30"/>
      <c r="S50" s="30"/>
      <c r="T50" s="26"/>
    </row>
    <row r="51" spans="2:24" ht="15" customHeight="1" thickBot="1" x14ac:dyDescent="0.3"/>
    <row r="52" spans="2:24" ht="15" customHeight="1" x14ac:dyDescent="0.25">
      <c r="B52" s="306" t="s">
        <v>177</v>
      </c>
      <c r="C52" s="307"/>
      <c r="D52" s="307"/>
      <c r="E52" s="307"/>
      <c r="F52" s="307"/>
      <c r="G52" s="307"/>
      <c r="H52" s="307"/>
      <c r="I52" s="307"/>
      <c r="J52" s="307"/>
      <c r="K52" s="307"/>
      <c r="L52" s="307"/>
      <c r="M52" s="307"/>
      <c r="N52" s="307"/>
      <c r="O52" s="307"/>
      <c r="P52" s="307"/>
      <c r="Q52" s="307"/>
      <c r="R52" s="308"/>
    </row>
    <row r="53" spans="2:24" ht="15" customHeight="1" x14ac:dyDescent="0.25">
      <c r="B53" s="309"/>
      <c r="C53" s="310"/>
      <c r="D53" s="310"/>
      <c r="E53" s="310"/>
      <c r="F53" s="310"/>
      <c r="G53" s="310"/>
      <c r="H53" s="310"/>
      <c r="I53" s="310"/>
      <c r="J53" s="310"/>
      <c r="K53" s="310"/>
      <c r="L53" s="310"/>
      <c r="M53" s="310"/>
      <c r="N53" s="310"/>
      <c r="O53" s="310"/>
      <c r="P53" s="310"/>
      <c r="Q53" s="310"/>
      <c r="R53" s="311"/>
    </row>
    <row r="54" spans="2:24" ht="15" customHeight="1" x14ac:dyDescent="0.25">
      <c r="B54" s="309"/>
      <c r="C54" s="310"/>
      <c r="D54" s="310"/>
      <c r="E54" s="310"/>
      <c r="F54" s="310"/>
      <c r="G54" s="310"/>
      <c r="H54" s="310"/>
      <c r="I54" s="310"/>
      <c r="J54" s="310"/>
      <c r="K54" s="310"/>
      <c r="L54" s="310"/>
      <c r="M54" s="310"/>
      <c r="N54" s="310"/>
      <c r="O54" s="310"/>
      <c r="P54" s="310"/>
      <c r="Q54" s="310"/>
      <c r="R54" s="311"/>
    </row>
    <row r="55" spans="2:24" ht="15" customHeight="1" x14ac:dyDescent="0.25">
      <c r="B55" s="309"/>
      <c r="C55" s="310"/>
      <c r="D55" s="310"/>
      <c r="E55" s="310"/>
      <c r="F55" s="310"/>
      <c r="G55" s="310"/>
      <c r="H55" s="310"/>
      <c r="I55" s="310"/>
      <c r="J55" s="310"/>
      <c r="K55" s="310"/>
      <c r="L55" s="310"/>
      <c r="M55" s="310"/>
      <c r="N55" s="310"/>
      <c r="O55" s="310"/>
      <c r="P55" s="310"/>
      <c r="Q55" s="310"/>
      <c r="R55" s="311"/>
    </row>
    <row r="56" spans="2:24" ht="15" customHeight="1" x14ac:dyDescent="0.25">
      <c r="B56" s="309"/>
      <c r="C56" s="310"/>
      <c r="D56" s="310"/>
      <c r="E56" s="310"/>
      <c r="F56" s="310"/>
      <c r="G56" s="310"/>
      <c r="H56" s="310"/>
      <c r="I56" s="310"/>
      <c r="J56" s="310"/>
      <c r="K56" s="310"/>
      <c r="L56" s="310"/>
      <c r="M56" s="310"/>
      <c r="N56" s="310"/>
      <c r="O56" s="310"/>
      <c r="P56" s="310"/>
      <c r="Q56" s="310"/>
      <c r="R56" s="311"/>
    </row>
    <row r="57" spans="2:24" ht="15" customHeight="1" x14ac:dyDescent="0.25">
      <c r="B57" s="309"/>
      <c r="C57" s="310"/>
      <c r="D57" s="310"/>
      <c r="E57" s="310"/>
      <c r="F57" s="310"/>
      <c r="G57" s="310"/>
      <c r="H57" s="310"/>
      <c r="I57" s="310"/>
      <c r="J57" s="310"/>
      <c r="K57" s="310"/>
      <c r="L57" s="310"/>
      <c r="M57" s="310"/>
      <c r="N57" s="310"/>
      <c r="O57" s="310"/>
      <c r="P57" s="310"/>
      <c r="Q57" s="310"/>
      <c r="R57" s="311"/>
    </row>
    <row r="58" spans="2:24" ht="24.75" customHeight="1" thickBot="1" x14ac:dyDescent="0.3">
      <c r="B58" s="312"/>
      <c r="C58" s="313"/>
      <c r="D58" s="313"/>
      <c r="E58" s="313"/>
      <c r="F58" s="313"/>
      <c r="G58" s="313"/>
      <c r="H58" s="313"/>
      <c r="I58" s="313"/>
      <c r="J58" s="313"/>
      <c r="K58" s="313"/>
      <c r="L58" s="313"/>
      <c r="M58" s="313"/>
      <c r="N58" s="313"/>
      <c r="O58" s="313"/>
      <c r="P58" s="313"/>
      <c r="Q58" s="313"/>
      <c r="R58" s="314"/>
    </row>
    <row r="59" spans="2:24" ht="15" customHeight="1" x14ac:dyDescent="0.25"/>
    <row r="60" spans="2:24" ht="15" customHeight="1" x14ac:dyDescent="0.25"/>
    <row r="61" spans="2:24" ht="15" customHeight="1" x14ac:dyDescent="0.25"/>
    <row r="62" spans="2:24" ht="15" customHeight="1" x14ac:dyDescent="0.25"/>
    <row r="63" spans="2:24" ht="15" customHeight="1" x14ac:dyDescent="0.25"/>
    <row r="64" spans="2:24" ht="15" customHeight="1" x14ac:dyDescent="0.25"/>
    <row r="65" ht="15" customHeight="1" x14ac:dyDescent="0.25"/>
    <row r="66" ht="15" customHeight="1" x14ac:dyDescent="0.25"/>
    <row r="67" ht="15" customHeight="1" x14ac:dyDescent="0.25"/>
  </sheetData>
  <sortState ref="C38:E40">
    <sortCondition descending="1" ref="E38"/>
  </sortState>
  <mergeCells count="3">
    <mergeCell ref="C3:S3"/>
    <mergeCell ref="D5:E5"/>
    <mergeCell ref="B52:R58"/>
  </mergeCells>
  <pageMargins left="0.7" right="0.7" top="0.75" bottom="0.75" header="0.3" footer="0.3"/>
  <pageSetup scale="3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72"/>
  <sheetViews>
    <sheetView showGridLines="0" zoomScale="80" zoomScaleNormal="80" zoomScaleSheetLayoutView="76" workbookViewId="0"/>
  </sheetViews>
  <sheetFormatPr defaultColWidth="9.140625" defaultRowHeight="15" x14ac:dyDescent="0.2"/>
  <cols>
    <col min="1" max="1" width="2.85546875" style="3" customWidth="1"/>
    <col min="2" max="2" width="3.85546875" style="3" customWidth="1"/>
    <col min="3" max="3" width="57.85546875" style="3" bestFit="1" customWidth="1"/>
    <col min="4" max="4" width="37.28515625" style="3" bestFit="1"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1"/>
      <c r="C2" s="42"/>
      <c r="D2" s="42"/>
      <c r="E2" s="42"/>
      <c r="F2" s="42"/>
      <c r="G2" s="42"/>
      <c r="H2" s="42"/>
      <c r="I2" s="42"/>
      <c r="J2" s="42"/>
      <c r="K2" s="42"/>
      <c r="L2" s="42"/>
      <c r="M2" s="42"/>
      <c r="N2" s="92"/>
    </row>
    <row r="3" spans="2:19" ht="20.25" customHeight="1" x14ac:dyDescent="0.2">
      <c r="B3" s="93"/>
      <c r="C3" s="300" t="s">
        <v>156</v>
      </c>
      <c r="D3" s="300"/>
      <c r="E3" s="300"/>
      <c r="F3" s="300"/>
      <c r="G3" s="300"/>
      <c r="H3" s="300"/>
      <c r="I3" s="300"/>
      <c r="J3" s="300"/>
      <c r="K3" s="300"/>
      <c r="L3" s="300"/>
      <c r="M3" s="300"/>
      <c r="N3" s="301"/>
    </row>
    <row r="4" spans="2:19" ht="15.75" x14ac:dyDescent="0.25">
      <c r="B4" s="93"/>
      <c r="C4" s="67" t="s">
        <v>430</v>
      </c>
      <c r="D4" s="29"/>
      <c r="E4" s="29"/>
      <c r="F4" s="5"/>
      <c r="G4" s="5"/>
      <c r="H4" s="5"/>
      <c r="I4" s="5"/>
      <c r="J4" s="5"/>
      <c r="K4" s="5"/>
      <c r="L4" s="5"/>
      <c r="M4" s="5"/>
      <c r="N4" s="20"/>
    </row>
    <row r="5" spans="2:19" ht="20.25" customHeight="1" x14ac:dyDescent="0.2">
      <c r="B5" s="93"/>
      <c r="C5" s="211" t="s">
        <v>431</v>
      </c>
      <c r="D5" s="317" t="s">
        <v>401</v>
      </c>
      <c r="E5" s="317"/>
      <c r="F5" s="5"/>
      <c r="G5" s="5"/>
      <c r="H5" s="5"/>
      <c r="I5" s="5"/>
      <c r="J5" s="5"/>
      <c r="K5" s="5"/>
      <c r="L5" s="5"/>
      <c r="M5" s="5"/>
      <c r="N5" s="20"/>
    </row>
    <row r="6" spans="2:19" ht="15.75" x14ac:dyDescent="0.25">
      <c r="B6" s="93"/>
      <c r="C6" s="29"/>
      <c r="D6" s="29"/>
      <c r="E6" s="29"/>
      <c r="F6" s="5"/>
      <c r="G6" s="5"/>
      <c r="H6" s="5"/>
      <c r="I6" s="5"/>
      <c r="J6" s="5"/>
      <c r="K6" s="5"/>
      <c r="L6" s="5"/>
      <c r="M6" s="5"/>
      <c r="N6" s="20"/>
    </row>
    <row r="7" spans="2:19" ht="32.25" customHeight="1" x14ac:dyDescent="0.2">
      <c r="B7" s="93"/>
      <c r="C7" s="95" t="s">
        <v>43</v>
      </c>
      <c r="D7" s="117" t="s">
        <v>44</v>
      </c>
      <c r="E7" s="218" t="s">
        <v>45</v>
      </c>
      <c r="F7" s="5"/>
      <c r="G7" s="302" t="s">
        <v>46</v>
      </c>
      <c r="H7" s="302"/>
      <c r="I7" s="302"/>
      <c r="J7" s="302"/>
      <c r="K7" s="302"/>
      <c r="L7" s="302"/>
      <c r="M7" s="302"/>
      <c r="N7" s="303"/>
    </row>
    <row r="8" spans="2:19" x14ac:dyDescent="0.2">
      <c r="B8" s="93"/>
      <c r="C8" s="200" t="s">
        <v>239</v>
      </c>
      <c r="D8" s="200" t="s">
        <v>4</v>
      </c>
      <c r="E8" s="183">
        <v>4.9370000000000004E-3</v>
      </c>
      <c r="F8" s="5"/>
      <c r="G8" s="230" t="s">
        <v>47</v>
      </c>
      <c r="H8" s="231">
        <v>1</v>
      </c>
      <c r="I8" s="232">
        <f>H8/SUM($H$8:$H$10)</f>
        <v>1</v>
      </c>
      <c r="J8" s="230"/>
      <c r="K8" s="231"/>
      <c r="L8" s="230"/>
      <c r="M8" s="230"/>
      <c r="N8" s="20"/>
      <c r="S8" s="49"/>
    </row>
    <row r="9" spans="2:19" ht="15.75" customHeight="1" x14ac:dyDescent="0.2">
      <c r="B9" s="93"/>
      <c r="C9" s="200" t="s">
        <v>272</v>
      </c>
      <c r="D9" s="200" t="s">
        <v>105</v>
      </c>
      <c r="E9" s="183">
        <v>4.7559999999999998E-3</v>
      </c>
      <c r="F9" s="5"/>
      <c r="G9" s="230" t="s">
        <v>57</v>
      </c>
      <c r="H9" s="233">
        <v>0</v>
      </c>
      <c r="I9" s="232">
        <f>H9/SUM($H$8:$H$10)</f>
        <v>0</v>
      </c>
      <c r="J9" s="230" t="s">
        <v>96</v>
      </c>
      <c r="K9" s="231">
        <f>E23+E25</f>
        <v>0.11010400000000001</v>
      </c>
      <c r="L9" s="230"/>
      <c r="M9" s="230"/>
      <c r="N9" s="20"/>
      <c r="S9" s="49"/>
    </row>
    <row r="10" spans="2:19" x14ac:dyDescent="0.2">
      <c r="B10" s="93"/>
      <c r="C10" s="200" t="s">
        <v>85</v>
      </c>
      <c r="D10" s="200" t="s">
        <v>105</v>
      </c>
      <c r="E10" s="183">
        <v>4.5209999999999998E-3</v>
      </c>
      <c r="F10" s="31"/>
      <c r="G10" s="230" t="s">
        <v>48</v>
      </c>
      <c r="H10" s="233">
        <v>0</v>
      </c>
      <c r="I10" s="232">
        <f>H10/SUM($H$8:$H$10)</f>
        <v>0</v>
      </c>
      <c r="J10" s="230" t="s">
        <v>20</v>
      </c>
      <c r="K10" s="231">
        <f>E49</f>
        <v>5.220300000000011E-2</v>
      </c>
      <c r="L10" s="230"/>
      <c r="M10" s="230"/>
      <c r="N10" s="20"/>
      <c r="S10" s="49"/>
    </row>
    <row r="11" spans="2:19" x14ac:dyDescent="0.2">
      <c r="B11" s="93"/>
      <c r="C11" s="200" t="s">
        <v>343</v>
      </c>
      <c r="D11" s="200" t="s">
        <v>83</v>
      </c>
      <c r="E11" s="183">
        <v>4.3790000000000009E-3</v>
      </c>
      <c r="F11" s="5"/>
      <c r="G11" s="230"/>
      <c r="H11" s="230"/>
      <c r="I11" s="230"/>
      <c r="J11" s="1"/>
      <c r="K11" s="1"/>
      <c r="L11" s="230"/>
      <c r="M11" s="230"/>
      <c r="N11" s="20"/>
      <c r="S11" s="49"/>
    </row>
    <row r="12" spans="2:19" ht="15.75" customHeight="1" x14ac:dyDescent="0.2">
      <c r="B12" s="93"/>
      <c r="C12" s="200" t="s">
        <v>37</v>
      </c>
      <c r="D12" s="200" t="s">
        <v>114</v>
      </c>
      <c r="E12" s="183">
        <v>4.274E-3</v>
      </c>
      <c r="F12" s="31"/>
      <c r="G12" s="230"/>
      <c r="H12" s="231"/>
      <c r="I12" s="230"/>
      <c r="J12" s="230" t="s">
        <v>41</v>
      </c>
      <c r="K12" s="231">
        <f>E37</f>
        <v>2.9991E-2</v>
      </c>
      <c r="L12" s="230"/>
      <c r="M12" s="230"/>
      <c r="N12" s="20"/>
      <c r="S12" s="49"/>
    </row>
    <row r="13" spans="2:19" x14ac:dyDescent="0.2">
      <c r="B13" s="93"/>
      <c r="C13" s="200" t="s">
        <v>93</v>
      </c>
      <c r="D13" s="200" t="s">
        <v>109</v>
      </c>
      <c r="E13" s="183">
        <v>4.2160000000000045E-3</v>
      </c>
      <c r="F13" s="31"/>
      <c r="G13" s="230"/>
      <c r="H13" s="230"/>
      <c r="I13" s="230"/>
      <c r="J13" s="230"/>
      <c r="K13" s="246"/>
      <c r="L13" s="230"/>
      <c r="M13" s="230"/>
      <c r="N13" s="20"/>
      <c r="S13" s="49"/>
    </row>
    <row r="14" spans="2:19" x14ac:dyDescent="0.2">
      <c r="B14" s="93"/>
      <c r="C14" s="200" t="s">
        <v>32</v>
      </c>
      <c r="D14" s="200" t="s">
        <v>3</v>
      </c>
      <c r="E14" s="183">
        <v>4.1460000000000038E-3</v>
      </c>
      <c r="F14" s="31"/>
      <c r="G14" s="230"/>
      <c r="H14" s="230"/>
      <c r="I14" s="230"/>
      <c r="J14" s="230" t="s">
        <v>210</v>
      </c>
      <c r="K14" s="231">
        <f>E28</f>
        <v>8.6694999999999994E-2</v>
      </c>
      <c r="L14" s="230"/>
      <c r="M14" s="230"/>
      <c r="N14" s="20"/>
      <c r="S14" s="49"/>
    </row>
    <row r="15" spans="2:19" x14ac:dyDescent="0.2">
      <c r="B15" s="93"/>
      <c r="C15" s="200" t="s">
        <v>31</v>
      </c>
      <c r="D15" s="200" t="s">
        <v>6</v>
      </c>
      <c r="E15" s="183">
        <v>4.1389999999999968E-3</v>
      </c>
      <c r="F15" s="5"/>
      <c r="G15" s="230"/>
      <c r="H15" s="230"/>
      <c r="I15" s="230"/>
      <c r="J15" s="230" t="s">
        <v>42</v>
      </c>
      <c r="K15" s="231">
        <f>E40</f>
        <v>5.1307999999999999E-2</v>
      </c>
      <c r="L15" s="230"/>
      <c r="M15" s="230"/>
      <c r="N15" s="20"/>
      <c r="S15" s="49"/>
    </row>
    <row r="16" spans="2:19" x14ac:dyDescent="0.2">
      <c r="B16" s="93"/>
      <c r="C16" s="200" t="s">
        <v>229</v>
      </c>
      <c r="D16" s="200" t="s">
        <v>16</v>
      </c>
      <c r="E16" s="183">
        <v>4.0409999999999995E-3</v>
      </c>
      <c r="F16" s="5"/>
      <c r="G16" s="230"/>
      <c r="H16" s="230"/>
      <c r="I16" s="230"/>
      <c r="J16" s="230" t="s">
        <v>60</v>
      </c>
      <c r="K16" s="231">
        <f>E32</f>
        <v>0.53838699999999995</v>
      </c>
      <c r="L16" s="230"/>
      <c r="M16" s="230"/>
      <c r="N16" s="20"/>
      <c r="S16" s="49"/>
    </row>
    <row r="17" spans="2:19" x14ac:dyDescent="0.2">
      <c r="B17" s="93"/>
      <c r="C17" s="200" t="s">
        <v>70</v>
      </c>
      <c r="D17" s="200" t="s">
        <v>12</v>
      </c>
      <c r="E17" s="183">
        <v>4.0120000000000017E-3</v>
      </c>
      <c r="F17" s="5"/>
      <c r="G17" s="230"/>
      <c r="H17" s="230"/>
      <c r="I17" s="230"/>
      <c r="J17" s="230" t="s">
        <v>290</v>
      </c>
      <c r="K17" s="231">
        <f>E30</f>
        <v>5.8900000000000001E-4</v>
      </c>
      <c r="L17" s="230"/>
      <c r="M17" s="230"/>
      <c r="N17" s="20"/>
      <c r="S17" s="49"/>
    </row>
    <row r="18" spans="2:19" x14ac:dyDescent="0.2">
      <c r="B18" s="93"/>
      <c r="C18" s="200" t="s">
        <v>35</v>
      </c>
      <c r="D18" s="200" t="s">
        <v>3</v>
      </c>
      <c r="E18" s="183">
        <v>3.9729999999999974E-3</v>
      </c>
      <c r="F18" s="5"/>
      <c r="G18" s="230"/>
      <c r="H18" s="230"/>
      <c r="I18" s="230"/>
      <c r="J18" s="230" t="s">
        <v>291</v>
      </c>
      <c r="K18" s="246">
        <f>E47</f>
        <v>0.13072300000000001</v>
      </c>
      <c r="L18" s="230"/>
      <c r="M18" s="230"/>
      <c r="N18" s="20"/>
      <c r="S18" s="49"/>
    </row>
    <row r="19" spans="2:19" x14ac:dyDescent="0.2">
      <c r="B19" s="93"/>
      <c r="C19" s="200" t="s">
        <v>348</v>
      </c>
      <c r="D19" s="200" t="s">
        <v>16</v>
      </c>
      <c r="E19" s="183">
        <v>3.9299999999999995E-3</v>
      </c>
      <c r="F19" s="5"/>
      <c r="G19" s="234"/>
      <c r="H19" s="234"/>
      <c r="I19" s="234"/>
      <c r="J19" s="234"/>
      <c r="K19" s="234"/>
      <c r="L19" s="234"/>
      <c r="M19" s="5"/>
      <c r="N19" s="20"/>
      <c r="S19" s="49"/>
    </row>
    <row r="20" spans="2:19" ht="15.75" customHeight="1" x14ac:dyDescent="0.25">
      <c r="B20" s="93"/>
      <c r="C20" s="200" t="s">
        <v>242</v>
      </c>
      <c r="D20" s="200" t="s">
        <v>108</v>
      </c>
      <c r="E20" s="183">
        <v>3.9139999999999991E-3</v>
      </c>
      <c r="F20" s="5"/>
      <c r="G20" s="320" t="s">
        <v>97</v>
      </c>
      <c r="H20" s="321"/>
      <c r="I20" s="321"/>
      <c r="J20" s="321"/>
      <c r="K20" s="321"/>
      <c r="L20" s="272" t="s">
        <v>442</v>
      </c>
      <c r="M20" s="118"/>
      <c r="N20" s="105"/>
      <c r="P20" s="19"/>
      <c r="S20" s="49"/>
    </row>
    <row r="21" spans="2:19" ht="15.75" x14ac:dyDescent="0.25">
      <c r="B21" s="93"/>
      <c r="C21" s="200" t="s">
        <v>29</v>
      </c>
      <c r="D21" s="200" t="s">
        <v>3</v>
      </c>
      <c r="E21" s="183">
        <v>3.8789999999999936E-3</v>
      </c>
      <c r="F21" s="5"/>
      <c r="G21" s="5"/>
      <c r="H21" s="5"/>
      <c r="I21" s="5"/>
      <c r="J21" s="5"/>
      <c r="K21" s="5"/>
      <c r="L21" s="5"/>
      <c r="M21" s="5"/>
      <c r="N21" s="20"/>
      <c r="P21" s="19"/>
      <c r="S21" s="49"/>
    </row>
    <row r="22" spans="2:19" ht="15.75" x14ac:dyDescent="0.25">
      <c r="B22" s="93"/>
      <c r="C22" s="200" t="s">
        <v>139</v>
      </c>
      <c r="D22" s="200" t="s">
        <v>108</v>
      </c>
      <c r="E22" s="183">
        <v>3.846E-3</v>
      </c>
      <c r="F22" s="5"/>
      <c r="G22" s="31"/>
      <c r="H22" s="31"/>
      <c r="I22" s="31"/>
      <c r="J22" s="5"/>
      <c r="K22" s="31"/>
      <c r="L22" s="5"/>
      <c r="M22" s="5"/>
      <c r="N22" s="20"/>
      <c r="P22" s="19"/>
      <c r="S22" s="49"/>
    </row>
    <row r="23" spans="2:19" ht="15.75" customHeight="1" x14ac:dyDescent="0.25">
      <c r="B23" s="93"/>
      <c r="C23" s="106" t="s">
        <v>86</v>
      </c>
      <c r="D23" s="106"/>
      <c r="E23" s="107">
        <f>SUM(E8:E22)</f>
        <v>6.2963000000000005E-2</v>
      </c>
      <c r="F23" s="5"/>
      <c r="G23" s="302" t="s">
        <v>50</v>
      </c>
      <c r="H23" s="302"/>
      <c r="I23" s="302"/>
      <c r="J23" s="302"/>
      <c r="K23" s="302"/>
      <c r="L23" s="302"/>
      <c r="M23" s="302"/>
      <c r="N23" s="303"/>
      <c r="P23" s="19"/>
      <c r="S23" s="49"/>
    </row>
    <row r="24" spans="2:19" ht="15.75" x14ac:dyDescent="0.25">
      <c r="B24" s="93"/>
      <c r="C24" s="4"/>
      <c r="D24" s="4"/>
      <c r="E24" s="6"/>
      <c r="F24" s="5"/>
      <c r="G24" s="5"/>
      <c r="H24" s="5"/>
      <c r="I24" s="5"/>
      <c r="J24" s="5"/>
      <c r="K24" s="5"/>
      <c r="L24" s="5"/>
      <c r="M24" s="5"/>
      <c r="N24" s="20"/>
      <c r="P24" s="19"/>
      <c r="S24" s="49"/>
    </row>
    <row r="25" spans="2:19" ht="15.75" x14ac:dyDescent="0.25">
      <c r="B25" s="93"/>
      <c r="C25" s="106" t="s">
        <v>87</v>
      </c>
      <c r="D25" s="106"/>
      <c r="E25" s="107">
        <v>4.7141000000000002E-2</v>
      </c>
      <c r="F25" s="5"/>
      <c r="G25" s="5"/>
      <c r="H25" s="5"/>
      <c r="I25" s="5"/>
      <c r="J25" s="5"/>
      <c r="K25" s="5"/>
      <c r="L25" s="5"/>
      <c r="M25" s="5"/>
      <c r="N25" s="20"/>
      <c r="P25" s="19"/>
      <c r="S25" s="49"/>
    </row>
    <row r="26" spans="2:19" ht="15.75" x14ac:dyDescent="0.25">
      <c r="B26" s="93"/>
      <c r="C26" s="200"/>
      <c r="D26" s="200"/>
      <c r="E26" s="183"/>
      <c r="F26" s="5"/>
      <c r="G26" s="5"/>
      <c r="H26" s="5"/>
      <c r="I26" s="5"/>
      <c r="J26" s="5"/>
      <c r="K26" s="5"/>
      <c r="L26" s="5"/>
      <c r="M26" s="5"/>
      <c r="N26" s="20"/>
      <c r="P26" s="19"/>
      <c r="S26" s="49"/>
    </row>
    <row r="27" spans="2:19" ht="15.75" x14ac:dyDescent="0.25">
      <c r="B27" s="93"/>
      <c r="C27" s="200" t="s">
        <v>211</v>
      </c>
      <c r="D27" s="200"/>
      <c r="E27" s="183">
        <v>8.6694999999999994E-2</v>
      </c>
      <c r="F27" s="5"/>
      <c r="G27" s="5"/>
      <c r="H27" s="5"/>
      <c r="I27" s="5"/>
      <c r="J27" s="5"/>
      <c r="K27" s="5"/>
      <c r="L27" s="5"/>
      <c r="M27" s="5"/>
      <c r="N27" s="20"/>
      <c r="P27" s="19"/>
      <c r="S27" s="49"/>
    </row>
    <row r="28" spans="2:19" ht="15.75" x14ac:dyDescent="0.25">
      <c r="B28" s="93"/>
      <c r="C28" s="106" t="s">
        <v>210</v>
      </c>
      <c r="D28" s="106"/>
      <c r="E28" s="178">
        <v>8.6694999999999994E-2</v>
      </c>
      <c r="F28" s="5"/>
      <c r="G28" s="5"/>
      <c r="H28" s="5"/>
      <c r="I28" s="5"/>
      <c r="J28" s="5"/>
      <c r="K28" s="5"/>
      <c r="L28" s="5"/>
      <c r="M28" s="5"/>
      <c r="N28" s="20"/>
      <c r="P28" s="19"/>
      <c r="S28" s="49"/>
    </row>
    <row r="29" spans="2:19" ht="15.75" x14ac:dyDescent="0.25">
      <c r="B29" s="93"/>
      <c r="C29" s="229"/>
      <c r="D29" s="241"/>
      <c r="E29" s="240"/>
      <c r="F29" s="5"/>
      <c r="G29" s="5"/>
      <c r="H29" s="5"/>
      <c r="I29" s="5"/>
      <c r="J29" s="5"/>
      <c r="K29" s="5"/>
      <c r="L29" s="5"/>
      <c r="M29" s="5"/>
      <c r="N29" s="20"/>
      <c r="P29" s="19"/>
      <c r="S29" s="49"/>
    </row>
    <row r="30" spans="2:19" ht="15.75" x14ac:dyDescent="0.25">
      <c r="B30" s="93"/>
      <c r="C30" s="106" t="s">
        <v>290</v>
      </c>
      <c r="D30" s="242"/>
      <c r="E30" s="178">
        <v>5.8900000000000001E-4</v>
      </c>
      <c r="F30" s="5"/>
      <c r="G30" s="5"/>
      <c r="H30" s="5"/>
      <c r="I30" s="5"/>
      <c r="J30" s="5"/>
      <c r="K30" s="5"/>
      <c r="L30" s="5"/>
      <c r="M30" s="5"/>
      <c r="N30" s="20"/>
      <c r="P30" s="19"/>
      <c r="S30" s="49"/>
    </row>
    <row r="31" spans="2:19" ht="15.75" x14ac:dyDescent="0.25">
      <c r="B31" s="93"/>
      <c r="C31" s="38"/>
      <c r="D31" s="5"/>
      <c r="E31" s="38"/>
      <c r="F31" s="5"/>
      <c r="G31" s="5"/>
      <c r="H31" s="5"/>
      <c r="I31" s="5"/>
      <c r="J31" s="5"/>
      <c r="K31" s="5"/>
      <c r="L31" s="5"/>
      <c r="M31" s="5"/>
      <c r="N31" s="20"/>
      <c r="P31" s="19"/>
      <c r="S31" s="49"/>
    </row>
    <row r="32" spans="2:19" ht="15.75" x14ac:dyDescent="0.25">
      <c r="B32" s="93"/>
      <c r="C32" s="106" t="s">
        <v>58</v>
      </c>
      <c r="D32" s="242"/>
      <c r="E32" s="178">
        <v>0.53838699999999995</v>
      </c>
      <c r="F32" s="5"/>
      <c r="G32" s="5"/>
      <c r="H32" s="5"/>
      <c r="I32" s="5"/>
      <c r="J32" s="5"/>
      <c r="K32" s="5"/>
      <c r="L32" s="5"/>
      <c r="M32" s="5"/>
      <c r="N32" s="20"/>
      <c r="P32" s="19"/>
      <c r="S32" s="49"/>
    </row>
    <row r="33" spans="2:19" ht="15" customHeight="1" x14ac:dyDescent="0.25">
      <c r="B33" s="93"/>
      <c r="C33" s="200"/>
      <c r="D33" s="243"/>
      <c r="E33" s="183"/>
      <c r="F33" s="5"/>
      <c r="G33" s="5"/>
      <c r="H33" s="5"/>
      <c r="I33" s="5"/>
      <c r="J33" s="5"/>
      <c r="K33" s="5"/>
      <c r="L33" s="5"/>
      <c r="M33" s="5"/>
      <c r="N33" s="20"/>
      <c r="P33" s="19"/>
      <c r="S33" s="49"/>
    </row>
    <row r="34" spans="2:19" ht="15" customHeight="1" x14ac:dyDescent="0.25">
      <c r="B34" s="93"/>
      <c r="C34" s="200"/>
      <c r="D34" s="243"/>
      <c r="E34" s="183"/>
      <c r="F34" s="5"/>
      <c r="G34" s="5"/>
      <c r="H34" s="5"/>
      <c r="I34" s="5"/>
      <c r="J34" s="5"/>
      <c r="K34" s="5"/>
      <c r="L34" s="5"/>
      <c r="M34" s="5"/>
      <c r="N34" s="20"/>
      <c r="P34" s="19"/>
      <c r="S34" s="49"/>
    </row>
    <row r="35" spans="2:19" s="48" customFormat="1" ht="15.75" x14ac:dyDescent="0.25">
      <c r="B35" s="108"/>
      <c r="C35" s="200" t="s">
        <v>73</v>
      </c>
      <c r="D35" s="243" t="s">
        <v>63</v>
      </c>
      <c r="E35" s="183">
        <v>1.6570000000000001E-2</v>
      </c>
      <c r="F35" s="41"/>
      <c r="G35" s="41"/>
      <c r="H35" s="41"/>
      <c r="I35" s="41"/>
      <c r="J35" s="41"/>
      <c r="K35" s="41"/>
      <c r="L35" s="41"/>
      <c r="M35" s="41"/>
      <c r="N35" s="109"/>
      <c r="P35" s="53"/>
      <c r="S35" s="110"/>
    </row>
    <row r="36" spans="2:19" s="48" customFormat="1" ht="15.75" x14ac:dyDescent="0.25">
      <c r="B36" s="108"/>
      <c r="C36" s="200" t="s">
        <v>78</v>
      </c>
      <c r="D36" s="243" t="s">
        <v>63</v>
      </c>
      <c r="E36" s="183">
        <v>1.3421000000000001E-2</v>
      </c>
      <c r="F36" s="41"/>
      <c r="G36" s="41"/>
      <c r="H36" s="41"/>
      <c r="I36" s="41"/>
      <c r="J36" s="41"/>
      <c r="K36" s="41"/>
      <c r="L36" s="41"/>
      <c r="M36" s="41"/>
      <c r="N36" s="109"/>
      <c r="P36" s="53"/>
      <c r="S36" s="110"/>
    </row>
    <row r="37" spans="2:19" ht="15.75" x14ac:dyDescent="0.25">
      <c r="B37" s="93"/>
      <c r="C37" s="106" t="s">
        <v>49</v>
      </c>
      <c r="D37" s="242"/>
      <c r="E37" s="178">
        <v>2.9991E-2</v>
      </c>
      <c r="F37" s="5"/>
      <c r="G37" s="5"/>
      <c r="H37" s="5"/>
      <c r="I37" s="5"/>
      <c r="J37" s="5"/>
      <c r="K37" s="5"/>
      <c r="L37" s="5"/>
      <c r="M37" s="5"/>
      <c r="N37" s="20"/>
      <c r="P37" s="19"/>
      <c r="S37" s="49"/>
    </row>
    <row r="38" spans="2:19" ht="15.75" x14ac:dyDescent="0.25">
      <c r="B38" s="93"/>
      <c r="C38" s="27" t="s">
        <v>227</v>
      </c>
      <c r="D38" s="33" t="s">
        <v>61</v>
      </c>
      <c r="E38" s="183">
        <v>3.3760999999999999E-2</v>
      </c>
      <c r="F38" s="5"/>
      <c r="G38" s="5"/>
      <c r="H38" s="5"/>
      <c r="I38" s="5"/>
      <c r="J38" s="5"/>
      <c r="K38" s="5"/>
      <c r="L38" s="5"/>
      <c r="M38" s="5"/>
      <c r="N38" s="20"/>
      <c r="P38" s="19"/>
      <c r="S38" s="49"/>
    </row>
    <row r="39" spans="2:19" ht="15.75" x14ac:dyDescent="0.25">
      <c r="B39" s="93"/>
      <c r="C39" s="27" t="s">
        <v>192</v>
      </c>
      <c r="D39" s="33" t="s">
        <v>61</v>
      </c>
      <c r="E39" s="183">
        <v>1.7547E-2</v>
      </c>
      <c r="F39" s="5"/>
      <c r="G39" s="5"/>
      <c r="H39" s="5"/>
      <c r="I39" s="5"/>
      <c r="J39" s="5"/>
      <c r="K39" s="5"/>
      <c r="L39" s="5"/>
      <c r="M39" s="5"/>
      <c r="N39" s="20"/>
      <c r="P39" s="19"/>
      <c r="S39" s="49"/>
    </row>
    <row r="40" spans="2:19" ht="15.75" x14ac:dyDescent="0.25">
      <c r="B40" s="93"/>
      <c r="C40" s="106" t="s">
        <v>42</v>
      </c>
      <c r="D40" s="242"/>
      <c r="E40" s="178">
        <v>5.1307999999999999E-2</v>
      </c>
      <c r="F40" s="5"/>
      <c r="G40" s="5"/>
      <c r="H40" s="5"/>
      <c r="I40" s="5"/>
      <c r="J40" s="5"/>
      <c r="K40" s="5"/>
      <c r="L40" s="5"/>
      <c r="M40" s="5"/>
      <c r="N40" s="20"/>
      <c r="P40" s="19"/>
      <c r="S40" s="49"/>
    </row>
    <row r="41" spans="2:19" ht="15.75" x14ac:dyDescent="0.25">
      <c r="B41" s="93"/>
      <c r="C41" s="27" t="s">
        <v>382</v>
      </c>
      <c r="D41" s="33" t="s">
        <v>61</v>
      </c>
      <c r="E41" s="183">
        <v>3.5207000000000002E-2</v>
      </c>
      <c r="F41" s="5"/>
      <c r="G41" s="5"/>
      <c r="H41" s="5"/>
      <c r="I41" s="5"/>
      <c r="J41" s="5"/>
      <c r="K41" s="5"/>
      <c r="L41" s="5"/>
      <c r="M41" s="5"/>
      <c r="N41" s="20"/>
      <c r="P41" s="19"/>
      <c r="S41" s="49"/>
    </row>
    <row r="42" spans="2:19" ht="15.75" x14ac:dyDescent="0.25">
      <c r="B42" s="93"/>
      <c r="C42" s="27" t="s">
        <v>376</v>
      </c>
      <c r="D42" s="33" t="s">
        <v>61</v>
      </c>
      <c r="E42" s="183">
        <v>2.6152000000000002E-2</v>
      </c>
      <c r="F42" s="5"/>
      <c r="G42" s="5"/>
      <c r="H42" s="5"/>
      <c r="I42" s="5"/>
      <c r="J42" s="5"/>
      <c r="K42" s="5"/>
      <c r="L42" s="5"/>
      <c r="M42" s="5"/>
      <c r="N42" s="20"/>
      <c r="P42" s="19"/>
      <c r="S42" s="49"/>
    </row>
    <row r="43" spans="2:19" ht="15.75" x14ac:dyDescent="0.25">
      <c r="B43" s="93"/>
      <c r="C43" s="27" t="s">
        <v>315</v>
      </c>
      <c r="D43" s="33" t="s">
        <v>61</v>
      </c>
      <c r="E43" s="183">
        <v>2.1968999999999999E-2</v>
      </c>
      <c r="F43" s="5"/>
      <c r="G43" s="5"/>
      <c r="H43" s="5"/>
      <c r="I43" s="5"/>
      <c r="J43" s="5"/>
      <c r="K43" s="5"/>
      <c r="L43" s="5"/>
      <c r="M43" s="5"/>
      <c r="N43" s="20"/>
      <c r="P43" s="19"/>
      <c r="S43" s="49"/>
    </row>
    <row r="44" spans="2:19" ht="15.75" x14ac:dyDescent="0.25">
      <c r="B44" s="93"/>
      <c r="C44" s="27" t="s">
        <v>347</v>
      </c>
      <c r="D44" s="33" t="s">
        <v>61</v>
      </c>
      <c r="E44" s="183">
        <v>1.7684999999999999E-2</v>
      </c>
      <c r="F44" s="5"/>
      <c r="G44" s="5"/>
      <c r="H44" s="5"/>
      <c r="I44" s="5"/>
      <c r="J44" s="5"/>
      <c r="K44" s="5"/>
      <c r="L44" s="5"/>
      <c r="M44" s="5"/>
      <c r="N44" s="20"/>
      <c r="P44" s="19"/>
      <c r="S44" s="49"/>
    </row>
    <row r="45" spans="2:19" ht="15.75" x14ac:dyDescent="0.25">
      <c r="B45" s="93"/>
      <c r="C45" s="27" t="s">
        <v>309</v>
      </c>
      <c r="D45" s="33" t="s">
        <v>61</v>
      </c>
      <c r="E45" s="183">
        <v>1.738E-2</v>
      </c>
      <c r="F45" s="5"/>
      <c r="G45" s="5"/>
      <c r="H45" s="5"/>
      <c r="I45" s="5"/>
      <c r="J45" s="5"/>
      <c r="K45" s="5"/>
      <c r="L45" s="5"/>
      <c r="M45" s="5"/>
      <c r="N45" s="20"/>
      <c r="P45" s="19"/>
      <c r="S45" s="49"/>
    </row>
    <row r="46" spans="2:19" ht="15.75" x14ac:dyDescent="0.25">
      <c r="B46" s="93"/>
      <c r="C46" s="27" t="s">
        <v>314</v>
      </c>
      <c r="D46" s="33" t="s">
        <v>61</v>
      </c>
      <c r="E46" s="183">
        <v>1.2330000000000001E-2</v>
      </c>
      <c r="F46" s="5"/>
      <c r="G46" s="5"/>
      <c r="H46" s="5"/>
      <c r="I46" s="5"/>
      <c r="J46" s="5"/>
      <c r="K46" s="5"/>
      <c r="L46" s="5"/>
      <c r="M46" s="5"/>
      <c r="N46" s="20"/>
      <c r="P46" s="19"/>
      <c r="S46" s="49"/>
    </row>
    <row r="47" spans="2:19" ht="15.75" x14ac:dyDescent="0.25">
      <c r="B47" s="93"/>
      <c r="C47" s="106" t="s">
        <v>291</v>
      </c>
      <c r="D47" s="242"/>
      <c r="E47" s="178">
        <v>0.13072300000000001</v>
      </c>
      <c r="F47" s="5"/>
      <c r="G47" s="5"/>
      <c r="H47" s="5"/>
      <c r="I47" s="5"/>
      <c r="J47" s="5"/>
      <c r="K47" s="5"/>
      <c r="L47" s="5"/>
      <c r="M47" s="5"/>
      <c r="N47" s="20"/>
      <c r="P47" s="19"/>
      <c r="S47" s="49"/>
    </row>
    <row r="48" spans="2:19" ht="15.75" x14ac:dyDescent="0.25">
      <c r="B48" s="93"/>
      <c r="C48" s="4"/>
      <c r="D48" s="244"/>
      <c r="E48" s="32"/>
      <c r="F48" s="5"/>
      <c r="G48" s="5"/>
      <c r="H48" s="5"/>
      <c r="I48" s="5"/>
      <c r="J48" s="5"/>
      <c r="K48" s="5"/>
      <c r="L48" s="5"/>
      <c r="M48" s="5"/>
      <c r="N48" s="20"/>
      <c r="P48" s="19"/>
      <c r="S48" s="49"/>
    </row>
    <row r="49" spans="2:19" ht="15.75" x14ac:dyDescent="0.25">
      <c r="B49" s="93"/>
      <c r="C49" s="106" t="s">
        <v>20</v>
      </c>
      <c r="D49" s="242"/>
      <c r="E49" s="178">
        <v>5.220300000000011E-2</v>
      </c>
      <c r="F49" s="5"/>
      <c r="G49" s="5"/>
      <c r="H49" s="5"/>
      <c r="I49" s="5"/>
      <c r="J49" s="5"/>
      <c r="K49" s="5"/>
      <c r="L49" s="5"/>
      <c r="M49" s="5"/>
      <c r="N49" s="20"/>
      <c r="P49" s="19"/>
      <c r="S49" s="49"/>
    </row>
    <row r="50" spans="2:19" ht="15.75" x14ac:dyDescent="0.25">
      <c r="B50" s="93"/>
      <c r="C50" s="4"/>
      <c r="D50" s="244"/>
      <c r="E50" s="32"/>
      <c r="F50" s="5"/>
      <c r="G50" s="5"/>
      <c r="H50" s="5"/>
      <c r="I50" s="5"/>
      <c r="J50" s="5"/>
      <c r="K50" s="5"/>
      <c r="L50" s="5"/>
      <c r="M50" s="5"/>
      <c r="N50" s="20"/>
      <c r="P50" s="19"/>
      <c r="S50" s="49"/>
    </row>
    <row r="51" spans="2:19" ht="15.75" x14ac:dyDescent="0.25">
      <c r="B51" s="93"/>
      <c r="C51" s="113" t="s">
        <v>21</v>
      </c>
      <c r="D51" s="245"/>
      <c r="E51" s="114">
        <f>E49+E47+E40+E37+E32+E30+E28+E25+E23</f>
        <v>1</v>
      </c>
      <c r="F51" s="5"/>
      <c r="G51" s="5"/>
      <c r="H51" s="5"/>
      <c r="I51" s="5"/>
      <c r="J51" s="5"/>
      <c r="K51" s="5"/>
      <c r="L51" s="5"/>
      <c r="M51" s="5"/>
      <c r="N51" s="20"/>
      <c r="P51" s="19"/>
      <c r="S51" s="49"/>
    </row>
    <row r="52" spans="2:19" ht="15.75" x14ac:dyDescent="0.25">
      <c r="B52" s="93"/>
      <c r="F52" s="5"/>
      <c r="G52" s="5"/>
      <c r="H52" s="5"/>
      <c r="I52" s="5"/>
      <c r="J52" s="5"/>
      <c r="K52" s="5"/>
      <c r="L52" s="5"/>
      <c r="M52" s="5"/>
      <c r="N52" s="20"/>
      <c r="P52" s="19"/>
      <c r="S52" s="49"/>
    </row>
    <row r="53" spans="2:19" ht="11.25" customHeight="1" thickBot="1" x14ac:dyDescent="0.25">
      <c r="B53" s="96"/>
      <c r="C53" s="45"/>
      <c r="D53" s="45"/>
      <c r="E53" s="45"/>
      <c r="F53" s="45"/>
      <c r="G53" s="45"/>
      <c r="H53" s="45"/>
      <c r="I53" s="45"/>
      <c r="J53" s="45"/>
      <c r="K53" s="45"/>
      <c r="L53" s="45"/>
      <c r="M53" s="45"/>
      <c r="N53" s="116"/>
      <c r="S53" s="49"/>
    </row>
    <row r="54" spans="2:19" ht="15.75" thickBot="1" x14ac:dyDescent="0.25">
      <c r="S54" s="49"/>
    </row>
    <row r="55" spans="2:19" ht="15" customHeight="1" x14ac:dyDescent="0.2">
      <c r="B55" s="306" t="s">
        <v>177</v>
      </c>
      <c r="C55" s="307"/>
      <c r="D55" s="307"/>
      <c r="E55" s="307"/>
      <c r="F55" s="307"/>
      <c r="G55" s="307"/>
      <c r="H55" s="307"/>
      <c r="I55" s="307"/>
      <c r="J55" s="307"/>
      <c r="K55" s="307"/>
      <c r="L55" s="307"/>
      <c r="M55" s="307"/>
      <c r="N55" s="307"/>
      <c r="O55" s="307"/>
      <c r="P55" s="307"/>
      <c r="Q55" s="307"/>
      <c r="R55" s="308"/>
      <c r="S55" s="49"/>
    </row>
    <row r="56" spans="2:19" x14ac:dyDescent="0.2">
      <c r="B56" s="309"/>
      <c r="C56" s="310"/>
      <c r="D56" s="310"/>
      <c r="E56" s="310"/>
      <c r="F56" s="310"/>
      <c r="G56" s="310"/>
      <c r="H56" s="310"/>
      <c r="I56" s="310"/>
      <c r="J56" s="310"/>
      <c r="K56" s="310"/>
      <c r="L56" s="310"/>
      <c r="M56" s="310"/>
      <c r="N56" s="310"/>
      <c r="O56" s="310"/>
      <c r="P56" s="310"/>
      <c r="Q56" s="310"/>
      <c r="R56" s="311"/>
      <c r="S56" s="49"/>
    </row>
    <row r="57" spans="2:19" x14ac:dyDescent="0.2">
      <c r="B57" s="309"/>
      <c r="C57" s="310"/>
      <c r="D57" s="310"/>
      <c r="E57" s="310"/>
      <c r="F57" s="310"/>
      <c r="G57" s="310"/>
      <c r="H57" s="310"/>
      <c r="I57" s="310"/>
      <c r="J57" s="310"/>
      <c r="K57" s="310"/>
      <c r="L57" s="310"/>
      <c r="M57" s="310"/>
      <c r="N57" s="310"/>
      <c r="O57" s="310"/>
      <c r="P57" s="310"/>
      <c r="Q57" s="310"/>
      <c r="R57" s="311"/>
      <c r="S57" s="49"/>
    </row>
    <row r="58" spans="2:19" x14ac:dyDescent="0.2">
      <c r="B58" s="309"/>
      <c r="C58" s="310"/>
      <c r="D58" s="310"/>
      <c r="E58" s="310"/>
      <c r="F58" s="310"/>
      <c r="G58" s="310"/>
      <c r="H58" s="310"/>
      <c r="I58" s="310"/>
      <c r="J58" s="310"/>
      <c r="K58" s="310"/>
      <c r="L58" s="310"/>
      <c r="M58" s="310"/>
      <c r="N58" s="310"/>
      <c r="O58" s="310"/>
      <c r="P58" s="310"/>
      <c r="Q58" s="310"/>
      <c r="R58" s="311"/>
      <c r="S58" s="49"/>
    </row>
    <row r="59" spans="2:19" x14ac:dyDescent="0.2">
      <c r="B59" s="309"/>
      <c r="C59" s="310"/>
      <c r="D59" s="310"/>
      <c r="E59" s="310"/>
      <c r="F59" s="310"/>
      <c r="G59" s="310"/>
      <c r="H59" s="310"/>
      <c r="I59" s="310"/>
      <c r="J59" s="310"/>
      <c r="K59" s="310"/>
      <c r="L59" s="310"/>
      <c r="M59" s="310"/>
      <c r="N59" s="310"/>
      <c r="O59" s="310"/>
      <c r="P59" s="310"/>
      <c r="Q59" s="310"/>
      <c r="R59" s="311"/>
      <c r="S59" s="49"/>
    </row>
    <row r="60" spans="2:19" x14ac:dyDescent="0.2">
      <c r="B60" s="309"/>
      <c r="C60" s="310"/>
      <c r="D60" s="310"/>
      <c r="E60" s="310"/>
      <c r="F60" s="310"/>
      <c r="G60" s="310"/>
      <c r="H60" s="310"/>
      <c r="I60" s="310"/>
      <c r="J60" s="310"/>
      <c r="K60" s="310"/>
      <c r="L60" s="310"/>
      <c r="M60" s="310"/>
      <c r="N60" s="310"/>
      <c r="O60" s="310"/>
      <c r="P60" s="310"/>
      <c r="Q60" s="310"/>
      <c r="R60" s="311"/>
      <c r="S60" s="49"/>
    </row>
    <row r="61" spans="2:19" ht="15.75" thickBot="1" x14ac:dyDescent="0.25">
      <c r="B61" s="312"/>
      <c r="C61" s="313"/>
      <c r="D61" s="313"/>
      <c r="E61" s="313"/>
      <c r="F61" s="313"/>
      <c r="G61" s="313"/>
      <c r="H61" s="313"/>
      <c r="I61" s="313"/>
      <c r="J61" s="313"/>
      <c r="K61" s="313"/>
      <c r="L61" s="313"/>
      <c r="M61" s="313"/>
      <c r="N61" s="313"/>
      <c r="O61" s="313"/>
      <c r="P61" s="313"/>
      <c r="Q61" s="313"/>
      <c r="R61" s="314"/>
      <c r="S61" s="49"/>
    </row>
    <row r="62" spans="2:19" x14ac:dyDescent="0.2">
      <c r="S62" s="49"/>
    </row>
    <row r="63" spans="2:19" x14ac:dyDescent="0.2">
      <c r="S63" s="49"/>
    </row>
    <row r="64" spans="2: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sheetData>
  <sortState ref="C41:E46">
    <sortCondition descending="1" ref="E41"/>
  </sortState>
  <mergeCells count="6">
    <mergeCell ref="B55:R61"/>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R668"/>
  <sheetViews>
    <sheetView showGridLines="0" zoomScale="80" zoomScaleNormal="80" workbookViewId="0"/>
  </sheetViews>
  <sheetFormatPr defaultColWidth="9.140625"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7" width="12" style="3" customWidth="1"/>
    <col min="8" max="8" width="12.140625" style="3" customWidth="1"/>
    <col min="9"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300" t="s">
        <v>250</v>
      </c>
      <c r="D3" s="300"/>
      <c r="E3" s="300"/>
      <c r="F3" s="300"/>
      <c r="G3" s="300"/>
      <c r="H3" s="300"/>
      <c r="I3" s="300"/>
      <c r="J3" s="300"/>
      <c r="K3" s="300"/>
      <c r="L3" s="300"/>
      <c r="M3" s="300"/>
      <c r="N3" s="301"/>
    </row>
    <row r="4" spans="2:18" ht="15.75" x14ac:dyDescent="0.25">
      <c r="B4" s="93"/>
      <c r="C4" s="67" t="s">
        <v>430</v>
      </c>
      <c r="D4" s="29"/>
      <c r="E4" s="29"/>
      <c r="F4" s="5"/>
      <c r="G4" s="5"/>
      <c r="H4" s="5"/>
      <c r="I4" s="5"/>
      <c r="J4" s="5"/>
      <c r="K4" s="5"/>
      <c r="L4" s="5"/>
      <c r="M4" s="5"/>
      <c r="N4" s="20"/>
    </row>
    <row r="5" spans="2:18" ht="20.25" customHeight="1" x14ac:dyDescent="0.2">
      <c r="B5" s="93"/>
      <c r="C5" s="211" t="s">
        <v>431</v>
      </c>
      <c r="D5" s="317" t="s">
        <v>402</v>
      </c>
      <c r="E5" s="317"/>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160" t="s">
        <v>43</v>
      </c>
      <c r="D7" s="218" t="s">
        <v>44</v>
      </c>
      <c r="E7" s="117" t="s">
        <v>45</v>
      </c>
      <c r="F7" s="5"/>
      <c r="G7" s="302" t="s">
        <v>46</v>
      </c>
      <c r="H7" s="302"/>
      <c r="I7" s="302"/>
      <c r="J7" s="302"/>
      <c r="K7" s="302"/>
      <c r="L7" s="302"/>
      <c r="M7" s="302"/>
      <c r="N7" s="303"/>
    </row>
    <row r="8" spans="2:18" x14ac:dyDescent="0.2">
      <c r="B8" s="93"/>
      <c r="C8" s="203" t="s">
        <v>348</v>
      </c>
      <c r="D8" s="4" t="s">
        <v>16</v>
      </c>
      <c r="E8" s="205">
        <v>2.2865E-2</v>
      </c>
      <c r="F8" s="5"/>
      <c r="G8" s="230" t="s">
        <v>47</v>
      </c>
      <c r="H8" s="247">
        <f>100%-H9-H10</f>
        <v>0.88630200000000003</v>
      </c>
      <c r="I8" s="232">
        <f>H8/SUM($H$8:$H$10)</f>
        <v>0.88630200000000003</v>
      </c>
      <c r="J8" s="230"/>
      <c r="K8" s="231"/>
      <c r="L8" s="230"/>
      <c r="M8" s="234"/>
      <c r="N8" s="20"/>
      <c r="R8" s="49"/>
    </row>
    <row r="9" spans="2:18" ht="15.75" customHeight="1" x14ac:dyDescent="0.2">
      <c r="B9" s="93"/>
      <c r="C9" s="203" t="s">
        <v>33</v>
      </c>
      <c r="D9" s="4" t="s">
        <v>104</v>
      </c>
      <c r="E9" s="205">
        <v>2.102E-2</v>
      </c>
      <c r="F9" s="5"/>
      <c r="G9" s="230" t="s">
        <v>57</v>
      </c>
      <c r="H9" s="247">
        <f>E31+E30+E32</f>
        <v>0.11369799999999999</v>
      </c>
      <c r="I9" s="232">
        <f t="shared" ref="I9:I10" si="0">H9/SUM($H$8:$H$10)</f>
        <v>0.11369799999999999</v>
      </c>
      <c r="J9" s="230" t="s">
        <v>41</v>
      </c>
      <c r="K9" s="231">
        <f>E34</f>
        <v>0.20825099999999999</v>
      </c>
      <c r="L9" s="230"/>
      <c r="M9" s="234"/>
      <c r="N9" s="20"/>
      <c r="R9" s="49"/>
    </row>
    <row r="10" spans="2:18" x14ac:dyDescent="0.2">
      <c r="B10" s="93"/>
      <c r="C10" s="203" t="s">
        <v>131</v>
      </c>
      <c r="D10" s="4" t="s">
        <v>109</v>
      </c>
      <c r="E10" s="205">
        <v>1.6573999999999998E-2</v>
      </c>
      <c r="F10" s="31"/>
      <c r="G10" s="230" t="s">
        <v>48</v>
      </c>
      <c r="H10" s="247">
        <v>0</v>
      </c>
      <c r="I10" s="232">
        <f t="shared" si="0"/>
        <v>0</v>
      </c>
      <c r="J10" s="230" t="s">
        <v>94</v>
      </c>
      <c r="K10" s="231">
        <f>E19+E22+E24</f>
        <v>0.24649599999999999</v>
      </c>
      <c r="L10" s="230"/>
      <c r="M10" s="234"/>
      <c r="N10" s="20"/>
      <c r="R10" s="49"/>
    </row>
    <row r="11" spans="2:18" x14ac:dyDescent="0.2">
      <c r="B11" s="93"/>
      <c r="C11" s="203" t="s">
        <v>133</v>
      </c>
      <c r="D11" s="4" t="s">
        <v>107</v>
      </c>
      <c r="E11" s="205">
        <v>1.061E-2</v>
      </c>
      <c r="F11" s="5"/>
      <c r="G11" s="230"/>
      <c r="H11" s="230"/>
      <c r="I11" s="230"/>
      <c r="J11" s="230" t="s">
        <v>20</v>
      </c>
      <c r="K11" s="231">
        <f>E43</f>
        <v>9.7444000000000003E-2</v>
      </c>
      <c r="L11" s="230"/>
      <c r="M11" s="234"/>
      <c r="N11" s="20"/>
      <c r="R11" s="49"/>
    </row>
    <row r="12" spans="2:18" ht="15.75" customHeight="1" x14ac:dyDescent="0.2">
      <c r="B12" s="93"/>
      <c r="C12" s="203" t="s">
        <v>102</v>
      </c>
      <c r="D12" s="4" t="s">
        <v>4</v>
      </c>
      <c r="E12" s="205">
        <v>9.9050000000000006E-3</v>
      </c>
      <c r="F12" s="31"/>
      <c r="G12" s="230"/>
      <c r="H12" s="231"/>
      <c r="I12" s="230"/>
      <c r="J12" s="230" t="s">
        <v>42</v>
      </c>
      <c r="K12" s="231">
        <f>E41</f>
        <v>0.44433400000000001</v>
      </c>
      <c r="L12" s="230"/>
      <c r="M12" s="234"/>
      <c r="N12" s="20"/>
      <c r="R12" s="49"/>
    </row>
    <row r="13" spans="2:18" x14ac:dyDescent="0.2">
      <c r="B13" s="93"/>
      <c r="C13" s="203" t="s">
        <v>147</v>
      </c>
      <c r="D13" s="4" t="s">
        <v>118</v>
      </c>
      <c r="E13" s="205">
        <v>8.319E-3</v>
      </c>
      <c r="F13" s="31"/>
      <c r="G13" s="230"/>
      <c r="H13" s="230"/>
      <c r="I13" s="230"/>
      <c r="J13" s="230"/>
      <c r="K13" s="231"/>
      <c r="L13" s="230"/>
      <c r="M13" s="234"/>
      <c r="N13" s="20"/>
      <c r="R13" s="49"/>
    </row>
    <row r="14" spans="2:18" x14ac:dyDescent="0.2">
      <c r="B14" s="93"/>
      <c r="C14" s="203" t="s">
        <v>29</v>
      </c>
      <c r="D14" s="4" t="s">
        <v>3</v>
      </c>
      <c r="E14" s="205">
        <v>8.0359999999999997E-3</v>
      </c>
      <c r="F14" s="31"/>
      <c r="G14" s="230"/>
      <c r="H14" s="230"/>
      <c r="I14" s="230"/>
      <c r="J14" s="1" t="s">
        <v>193</v>
      </c>
      <c r="K14" s="235">
        <f>E27</f>
        <v>3.4749999999999998E-3</v>
      </c>
      <c r="L14" s="230"/>
      <c r="M14" s="234"/>
      <c r="N14" s="20"/>
      <c r="R14" s="49"/>
    </row>
    <row r="15" spans="2:18" x14ac:dyDescent="0.2">
      <c r="B15" s="93"/>
      <c r="C15" s="203" t="s">
        <v>36</v>
      </c>
      <c r="D15" s="4" t="s">
        <v>3</v>
      </c>
      <c r="E15" s="205">
        <v>2.9329999999999998E-3</v>
      </c>
      <c r="F15" s="5"/>
      <c r="G15" s="230"/>
      <c r="H15" s="230"/>
      <c r="I15" s="1"/>
      <c r="J15" s="235"/>
      <c r="K15" s="1"/>
      <c r="L15" s="230"/>
      <c r="M15" s="234"/>
      <c r="N15" s="20"/>
      <c r="R15" s="49"/>
    </row>
    <row r="16" spans="2:18" x14ac:dyDescent="0.2">
      <c r="B16" s="93"/>
      <c r="C16" s="203" t="s">
        <v>132</v>
      </c>
      <c r="D16" s="4" t="s">
        <v>3</v>
      </c>
      <c r="E16" s="205">
        <v>1.5479999999999999E-3</v>
      </c>
      <c r="F16" s="5"/>
      <c r="G16" s="230"/>
      <c r="H16" s="230"/>
      <c r="I16" s="1"/>
      <c r="J16" s="235"/>
      <c r="K16" s="1"/>
      <c r="L16" s="230"/>
      <c r="M16" s="234"/>
      <c r="N16" s="20"/>
      <c r="R16" s="49"/>
    </row>
    <row r="17" spans="2:18" x14ac:dyDescent="0.2">
      <c r="B17" s="93"/>
      <c r="C17" s="203"/>
      <c r="D17" s="4"/>
      <c r="E17" s="205"/>
      <c r="F17" s="5"/>
      <c r="G17" s="5"/>
      <c r="H17" s="5"/>
      <c r="I17" s="5"/>
      <c r="J17" s="5"/>
      <c r="K17" s="5"/>
      <c r="L17" s="5"/>
      <c r="M17" s="5"/>
      <c r="N17" s="20"/>
      <c r="R17" s="49"/>
    </row>
    <row r="18" spans="2:18" x14ac:dyDescent="0.2">
      <c r="B18" s="93"/>
      <c r="C18" s="179"/>
      <c r="D18" s="187"/>
      <c r="E18" s="194"/>
      <c r="F18" s="5"/>
      <c r="G18" s="5"/>
      <c r="H18" s="5"/>
      <c r="I18" s="5"/>
      <c r="J18" s="5"/>
      <c r="K18" s="5"/>
      <c r="L18" s="5"/>
      <c r="M18" s="5"/>
      <c r="N18" s="20"/>
      <c r="R18" s="49"/>
    </row>
    <row r="19" spans="2:18" ht="15.75" x14ac:dyDescent="0.2">
      <c r="B19" s="93"/>
      <c r="C19" s="216" t="s">
        <v>56</v>
      </c>
      <c r="D19" s="115"/>
      <c r="E19" s="217">
        <f>SUM(E8:E17)</f>
        <v>0.10180999999999998</v>
      </c>
      <c r="F19" s="5"/>
      <c r="G19" s="5"/>
      <c r="H19" s="5"/>
      <c r="I19" s="5"/>
      <c r="J19" s="5"/>
      <c r="K19" s="5"/>
      <c r="L19" s="5"/>
      <c r="M19" s="5"/>
      <c r="N19" s="20"/>
      <c r="R19" s="49"/>
    </row>
    <row r="20" spans="2:18" ht="15.75" customHeight="1" x14ac:dyDescent="0.25">
      <c r="B20" s="93"/>
      <c r="C20" s="203"/>
      <c r="D20" s="4"/>
      <c r="E20" s="46"/>
      <c r="F20" s="5"/>
      <c r="G20" s="320" t="s">
        <v>97</v>
      </c>
      <c r="H20" s="321"/>
      <c r="I20" s="321"/>
      <c r="J20" s="321"/>
      <c r="K20" s="321"/>
      <c r="L20" s="291" t="s">
        <v>443</v>
      </c>
      <c r="M20" s="104"/>
      <c r="N20" s="105"/>
      <c r="R20" s="49"/>
    </row>
    <row r="21" spans="2:18" x14ac:dyDescent="0.2">
      <c r="B21" s="93"/>
      <c r="C21" s="203" t="s">
        <v>169</v>
      </c>
      <c r="D21" s="4"/>
      <c r="E21" s="205">
        <v>0.14468600000000001</v>
      </c>
      <c r="F21" s="5"/>
      <c r="G21" s="5"/>
      <c r="H21" s="5"/>
      <c r="I21" s="5"/>
      <c r="J21" s="5"/>
      <c r="K21" s="5"/>
      <c r="L21" s="5"/>
      <c r="M21" s="5"/>
      <c r="N21" s="20"/>
      <c r="R21" s="49"/>
    </row>
    <row r="22" spans="2:18" ht="15.75" x14ac:dyDescent="0.2">
      <c r="B22" s="93"/>
      <c r="C22" s="122" t="s">
        <v>79</v>
      </c>
      <c r="D22" s="106"/>
      <c r="E22" s="182">
        <v>0.14468600000000001</v>
      </c>
      <c r="F22" s="5"/>
      <c r="G22" s="31"/>
      <c r="H22" s="31"/>
      <c r="I22" s="31"/>
      <c r="J22" s="5"/>
      <c r="K22" s="31"/>
      <c r="L22" s="5"/>
      <c r="M22" s="5"/>
      <c r="N22" s="20"/>
      <c r="R22" s="49"/>
    </row>
    <row r="23" spans="2:18" ht="15.75" customHeight="1" x14ac:dyDescent="0.2">
      <c r="B23" s="93"/>
      <c r="C23" s="212"/>
      <c r="D23" s="111"/>
      <c r="E23" s="228"/>
      <c r="F23" s="5"/>
      <c r="G23" s="302" t="s">
        <v>50</v>
      </c>
      <c r="H23" s="302"/>
      <c r="I23" s="302"/>
      <c r="J23" s="302"/>
      <c r="K23" s="302"/>
      <c r="L23" s="302"/>
      <c r="M23" s="302"/>
      <c r="N23" s="303"/>
      <c r="R23" s="49"/>
    </row>
    <row r="24" spans="2:18" ht="15.75" x14ac:dyDescent="0.2">
      <c r="B24" s="93"/>
      <c r="C24" s="122" t="s">
        <v>66</v>
      </c>
      <c r="D24" s="106"/>
      <c r="E24" s="206">
        <v>0</v>
      </c>
      <c r="F24" s="5"/>
      <c r="G24" s="5"/>
      <c r="H24" s="5"/>
      <c r="I24" s="5"/>
      <c r="J24" s="5"/>
      <c r="K24" s="5"/>
      <c r="L24" s="5"/>
      <c r="M24" s="5"/>
      <c r="N24" s="20"/>
      <c r="R24" s="49"/>
    </row>
    <row r="25" spans="2:18" x14ac:dyDescent="0.2">
      <c r="B25" s="93"/>
      <c r="C25" s="102"/>
      <c r="D25" s="38"/>
      <c r="E25" s="215"/>
      <c r="F25" s="5"/>
      <c r="G25" s="5"/>
      <c r="H25" s="5"/>
      <c r="I25" s="5"/>
      <c r="J25" s="5"/>
      <c r="K25" s="5"/>
      <c r="L25" s="5"/>
      <c r="M25" s="5"/>
      <c r="N25" s="20"/>
      <c r="R25" s="49"/>
    </row>
    <row r="26" spans="2:18" x14ac:dyDescent="0.2">
      <c r="B26" s="93"/>
      <c r="C26" s="102" t="s">
        <v>193</v>
      </c>
      <c r="D26" s="38"/>
      <c r="E26" s="205">
        <v>3.4749999999999998E-3</v>
      </c>
      <c r="F26" s="5"/>
      <c r="G26" s="5"/>
      <c r="H26" s="5"/>
      <c r="I26" s="5"/>
      <c r="J26" s="5"/>
      <c r="K26" s="5"/>
      <c r="L26" s="5"/>
      <c r="M26" s="5"/>
      <c r="N26" s="20"/>
      <c r="R26" s="49"/>
    </row>
    <row r="27" spans="2:18" ht="15.75" x14ac:dyDescent="0.2">
      <c r="B27" s="93"/>
      <c r="C27" s="122" t="s">
        <v>193</v>
      </c>
      <c r="D27" s="106"/>
      <c r="E27" s="182">
        <v>3.4749999999999998E-3</v>
      </c>
      <c r="F27" s="5"/>
      <c r="G27" s="5"/>
      <c r="H27" s="5"/>
      <c r="I27" s="5"/>
      <c r="J27" s="5"/>
      <c r="K27" s="5"/>
      <c r="L27" s="5"/>
      <c r="M27" s="5"/>
      <c r="N27" s="20"/>
      <c r="R27" s="49"/>
    </row>
    <row r="28" spans="2:18" s="48" customFormat="1" x14ac:dyDescent="0.2">
      <c r="B28" s="108"/>
      <c r="C28" s="202"/>
      <c r="D28" s="190"/>
      <c r="E28" s="205"/>
      <c r="F28" s="41"/>
      <c r="G28" s="41"/>
      <c r="H28" s="41"/>
      <c r="I28" s="41"/>
      <c r="J28" s="41"/>
      <c r="K28" s="41"/>
      <c r="L28" s="41"/>
      <c r="M28" s="41"/>
      <c r="N28" s="109"/>
      <c r="R28" s="110"/>
    </row>
    <row r="29" spans="2:18" x14ac:dyDescent="0.2">
      <c r="B29" s="93"/>
      <c r="C29" s="102" t="s">
        <v>78</v>
      </c>
      <c r="D29" s="38" t="s">
        <v>350</v>
      </c>
      <c r="E29" s="205">
        <v>8.6018999999999998E-2</v>
      </c>
      <c r="F29" s="5"/>
      <c r="G29" s="5"/>
      <c r="H29" s="5"/>
      <c r="I29" s="5"/>
      <c r="J29" s="5"/>
      <c r="K29" s="5"/>
      <c r="L29" s="5"/>
      <c r="M29" s="5"/>
      <c r="N29" s="20"/>
      <c r="R29" s="49"/>
    </row>
    <row r="30" spans="2:18" x14ac:dyDescent="0.2">
      <c r="B30" s="93"/>
      <c r="C30" s="102" t="s">
        <v>308</v>
      </c>
      <c r="D30" s="38" t="s">
        <v>351</v>
      </c>
      <c r="E30" s="219">
        <v>4.3816000000000001E-2</v>
      </c>
      <c r="F30" s="5"/>
      <c r="G30" s="5"/>
      <c r="H30" s="5"/>
      <c r="I30" s="5"/>
      <c r="J30" s="5"/>
      <c r="K30" s="5"/>
      <c r="L30" s="5"/>
      <c r="M30" s="5"/>
      <c r="N30" s="20"/>
      <c r="R30" s="49"/>
    </row>
    <row r="31" spans="2:18" x14ac:dyDescent="0.2">
      <c r="B31" s="93"/>
      <c r="C31" s="102" t="s">
        <v>251</v>
      </c>
      <c r="D31" s="38" t="s">
        <v>351</v>
      </c>
      <c r="E31" s="205">
        <v>3.5132999999999998E-2</v>
      </c>
      <c r="F31" s="5"/>
      <c r="G31" s="5"/>
      <c r="H31" s="5"/>
      <c r="I31" s="5"/>
      <c r="J31" s="5"/>
      <c r="K31" s="5"/>
      <c r="L31" s="5"/>
      <c r="M31" s="5"/>
      <c r="N31" s="20"/>
      <c r="R31" s="49"/>
    </row>
    <row r="32" spans="2:18" x14ac:dyDescent="0.2">
      <c r="B32" s="93"/>
      <c r="C32" s="102" t="s">
        <v>248</v>
      </c>
      <c r="D32" s="38" t="s">
        <v>351</v>
      </c>
      <c r="E32" s="205">
        <v>3.4749000000000002E-2</v>
      </c>
      <c r="F32" s="5"/>
      <c r="G32" s="5"/>
      <c r="H32" s="5"/>
      <c r="I32" s="5"/>
      <c r="J32" s="5"/>
      <c r="K32" s="5"/>
      <c r="L32" s="5"/>
      <c r="M32" s="5"/>
      <c r="N32" s="20"/>
      <c r="R32" s="49"/>
    </row>
    <row r="33" spans="1:18" x14ac:dyDescent="0.2">
      <c r="B33" s="93"/>
      <c r="C33" s="102" t="s">
        <v>69</v>
      </c>
      <c r="D33" s="38" t="s">
        <v>350</v>
      </c>
      <c r="E33" s="205">
        <v>8.5339999999999999E-3</v>
      </c>
      <c r="F33" s="5"/>
      <c r="G33" s="5"/>
      <c r="H33" s="5"/>
      <c r="I33" s="5"/>
      <c r="J33" s="5"/>
      <c r="K33" s="5"/>
      <c r="L33" s="5"/>
      <c r="M33" s="5"/>
      <c r="N33" s="20"/>
      <c r="R33" s="49"/>
    </row>
    <row r="34" spans="1:18" ht="15.75" x14ac:dyDescent="0.2">
      <c r="B34" s="93"/>
      <c r="C34" s="122" t="s">
        <v>49</v>
      </c>
      <c r="D34" s="106"/>
      <c r="E34" s="206">
        <v>0.20825099999999999</v>
      </c>
      <c r="F34" s="5"/>
      <c r="G34" s="5"/>
      <c r="H34" s="5"/>
      <c r="I34" s="5"/>
      <c r="J34" s="5"/>
      <c r="K34" s="5"/>
      <c r="L34" s="5"/>
      <c r="M34" s="5"/>
      <c r="N34" s="20"/>
      <c r="R34" s="49"/>
    </row>
    <row r="35" spans="1:18" x14ac:dyDescent="0.2">
      <c r="B35" s="93"/>
      <c r="C35" s="102"/>
      <c r="D35" s="38"/>
      <c r="E35" s="205"/>
      <c r="F35" s="5"/>
      <c r="G35" s="5"/>
      <c r="H35" s="5"/>
      <c r="I35" s="5"/>
      <c r="J35" s="5"/>
      <c r="K35" s="5"/>
      <c r="L35" s="5"/>
      <c r="M35" s="5"/>
      <c r="N35" s="20"/>
      <c r="R35" s="49"/>
    </row>
    <row r="36" spans="1:18" x14ac:dyDescent="0.2">
      <c r="B36" s="93"/>
      <c r="C36" s="102" t="s">
        <v>212</v>
      </c>
      <c r="D36" s="38" t="s">
        <v>61</v>
      </c>
      <c r="E36" s="205">
        <v>0.272785</v>
      </c>
      <c r="F36" s="5"/>
      <c r="G36" s="5"/>
      <c r="H36" s="5"/>
      <c r="I36" s="5"/>
      <c r="J36" s="5"/>
      <c r="K36" s="5"/>
      <c r="L36" s="5"/>
      <c r="M36" s="5"/>
      <c r="N36" s="20"/>
      <c r="R36" s="49"/>
    </row>
    <row r="37" spans="1:18" x14ac:dyDescent="0.2">
      <c r="B37" s="93"/>
      <c r="C37" s="102" t="s">
        <v>188</v>
      </c>
      <c r="D37" s="38" t="s">
        <v>61</v>
      </c>
      <c r="E37" s="205">
        <v>0.136101</v>
      </c>
      <c r="F37" s="5"/>
      <c r="G37" s="5"/>
      <c r="H37" s="5"/>
      <c r="I37" s="5"/>
      <c r="J37" s="5"/>
      <c r="K37" s="5"/>
      <c r="L37" s="5"/>
      <c r="M37" s="5"/>
      <c r="N37" s="20"/>
      <c r="R37" s="49"/>
    </row>
    <row r="38" spans="1:18" x14ac:dyDescent="0.2">
      <c r="B38" s="93"/>
      <c r="C38" s="102" t="s">
        <v>100</v>
      </c>
      <c r="D38" s="38" t="s">
        <v>61</v>
      </c>
      <c r="E38" s="205">
        <v>2.3231999999999999E-2</v>
      </c>
      <c r="F38" s="5"/>
      <c r="G38" s="5"/>
      <c r="H38" s="5"/>
      <c r="I38" s="5"/>
      <c r="J38" s="5"/>
      <c r="K38" s="5"/>
      <c r="L38" s="5"/>
      <c r="M38" s="5"/>
      <c r="N38" s="20"/>
      <c r="R38" s="49"/>
    </row>
    <row r="39" spans="1:18" x14ac:dyDescent="0.2">
      <c r="B39" s="93"/>
      <c r="C39" s="102" t="s">
        <v>137</v>
      </c>
      <c r="D39" s="38" t="s">
        <v>61</v>
      </c>
      <c r="E39" s="205">
        <v>1.0619999999999999E-2</v>
      </c>
      <c r="F39" s="5"/>
      <c r="G39" s="5"/>
      <c r="H39" s="5"/>
      <c r="I39" s="5"/>
      <c r="J39" s="5"/>
      <c r="K39" s="5"/>
      <c r="L39" s="5"/>
      <c r="M39" s="5"/>
      <c r="N39" s="20"/>
      <c r="R39" s="49"/>
    </row>
    <row r="40" spans="1:18" x14ac:dyDescent="0.2">
      <c r="B40" s="93"/>
      <c r="C40" s="102" t="s">
        <v>67</v>
      </c>
      <c r="D40" s="38" t="s">
        <v>61</v>
      </c>
      <c r="E40" s="205">
        <v>1.596E-3</v>
      </c>
      <c r="F40" s="5"/>
      <c r="G40" s="5"/>
      <c r="H40" s="5"/>
      <c r="I40" s="5"/>
      <c r="J40" s="5"/>
      <c r="K40" s="5"/>
      <c r="L40" s="5"/>
      <c r="M40" s="5"/>
      <c r="N40" s="20"/>
      <c r="R40" s="49"/>
    </row>
    <row r="41" spans="1:18" ht="15.75" x14ac:dyDescent="0.2">
      <c r="B41" s="93"/>
      <c r="C41" s="122" t="s">
        <v>42</v>
      </c>
      <c r="D41" s="106"/>
      <c r="E41" s="182">
        <v>0.44433400000000001</v>
      </c>
      <c r="F41" s="5"/>
      <c r="G41" s="5"/>
      <c r="H41" s="5"/>
      <c r="I41" s="5"/>
      <c r="J41" s="5"/>
      <c r="K41" s="5"/>
      <c r="L41" s="5"/>
      <c r="M41" s="5"/>
      <c r="N41" s="20"/>
      <c r="R41" s="49"/>
    </row>
    <row r="42" spans="1:18" x14ac:dyDescent="0.2">
      <c r="B42" s="93"/>
      <c r="C42" s="102"/>
      <c r="D42" s="38"/>
      <c r="E42" s="207"/>
      <c r="F42" s="5"/>
      <c r="G42" s="5"/>
      <c r="H42" s="5"/>
      <c r="I42" s="5"/>
      <c r="J42" s="5"/>
      <c r="K42" s="5"/>
      <c r="L42" s="5"/>
      <c r="M42" s="5"/>
      <c r="N42" s="20"/>
      <c r="R42" s="49"/>
    </row>
    <row r="43" spans="1:18" ht="15.75" x14ac:dyDescent="0.2">
      <c r="B43" s="93"/>
      <c r="C43" s="122" t="s">
        <v>20</v>
      </c>
      <c r="D43" s="106"/>
      <c r="E43" s="206">
        <v>9.7444000000000003E-2</v>
      </c>
      <c r="F43" s="5"/>
      <c r="G43" s="5"/>
      <c r="H43" s="5"/>
      <c r="I43" s="5"/>
      <c r="J43" s="5"/>
      <c r="K43" s="5"/>
      <c r="L43" s="5"/>
      <c r="M43" s="5"/>
      <c r="N43" s="20"/>
      <c r="R43" s="49"/>
    </row>
    <row r="44" spans="1:18" x14ac:dyDescent="0.2">
      <c r="B44" s="93"/>
      <c r="C44" s="203"/>
      <c r="D44" s="4"/>
      <c r="E44" s="208"/>
      <c r="F44" s="5"/>
      <c r="G44" s="44"/>
      <c r="H44" s="5"/>
      <c r="I44" s="5"/>
      <c r="J44" s="5"/>
      <c r="K44" s="5"/>
      <c r="L44" s="5"/>
      <c r="M44" s="5"/>
      <c r="N44" s="20"/>
      <c r="R44" s="49"/>
    </row>
    <row r="45" spans="1:18" ht="15.75" x14ac:dyDescent="0.2">
      <c r="B45" s="93"/>
      <c r="C45" s="204" t="s">
        <v>21</v>
      </c>
      <c r="D45" s="113"/>
      <c r="E45" s="209">
        <f>E43+E41+E34+E27+E24+E22+E19</f>
        <v>0.99999999999999989</v>
      </c>
      <c r="F45" s="5"/>
      <c r="G45" s="5"/>
      <c r="H45" s="5"/>
      <c r="I45" s="5"/>
      <c r="J45" s="5"/>
      <c r="K45" s="5"/>
      <c r="L45" s="5"/>
      <c r="M45" s="5"/>
      <c r="N45" s="20"/>
      <c r="R45" s="49"/>
    </row>
    <row r="46" spans="1:18" x14ac:dyDescent="0.2">
      <c r="A46" s="5"/>
      <c r="B46" s="93"/>
      <c r="F46" s="5"/>
      <c r="J46" s="5"/>
      <c r="K46" s="5"/>
      <c r="L46" s="5"/>
      <c r="M46" s="5"/>
      <c r="N46" s="20"/>
      <c r="O46" s="5"/>
      <c r="R46" s="49"/>
    </row>
    <row r="47" spans="1:18" x14ac:dyDescent="0.2">
      <c r="A47" s="5"/>
      <c r="B47" s="93"/>
      <c r="F47" s="5"/>
      <c r="G47" s="5"/>
      <c r="H47" s="5"/>
      <c r="I47" s="5"/>
      <c r="J47" s="5"/>
      <c r="K47" s="5"/>
      <c r="L47" s="5"/>
      <c r="M47" s="5"/>
      <c r="N47" s="20"/>
      <c r="O47" s="5"/>
      <c r="R47" s="49"/>
    </row>
    <row r="48" spans="1:18" x14ac:dyDescent="0.2">
      <c r="A48" s="5"/>
      <c r="B48" s="93"/>
      <c r="F48" s="5"/>
      <c r="G48" s="5"/>
      <c r="H48" s="5"/>
      <c r="I48" s="5"/>
      <c r="J48" s="5"/>
      <c r="K48" s="5"/>
      <c r="L48" s="5"/>
      <c r="M48" s="5"/>
      <c r="N48" s="20"/>
      <c r="O48" s="5"/>
      <c r="R48" s="49"/>
    </row>
    <row r="49" spans="1:18" ht="15.75" thickBot="1" x14ac:dyDescent="0.25">
      <c r="A49" s="5"/>
      <c r="B49" s="96"/>
      <c r="C49" s="54"/>
      <c r="D49" s="54"/>
      <c r="E49" s="55"/>
      <c r="F49" s="45"/>
      <c r="G49" s="45"/>
      <c r="H49" s="45"/>
      <c r="I49" s="45"/>
      <c r="J49" s="45"/>
      <c r="K49" s="45"/>
      <c r="L49" s="45"/>
      <c r="M49" s="45"/>
      <c r="N49" s="116"/>
      <c r="O49" s="5"/>
      <c r="R49" s="49"/>
    </row>
    <row r="50" spans="1:18" ht="15.75" thickBot="1" x14ac:dyDescent="0.25">
      <c r="R50" s="49"/>
    </row>
    <row r="51" spans="1:18" ht="15" customHeight="1" x14ac:dyDescent="0.2">
      <c r="B51" s="306" t="s">
        <v>177</v>
      </c>
      <c r="C51" s="307"/>
      <c r="D51" s="307"/>
      <c r="E51" s="307"/>
      <c r="F51" s="307"/>
      <c r="G51" s="307"/>
      <c r="H51" s="307"/>
      <c r="I51" s="307"/>
      <c r="J51" s="307"/>
      <c r="K51" s="307"/>
      <c r="L51" s="307"/>
      <c r="M51" s="307"/>
      <c r="N51" s="307"/>
      <c r="O51" s="307"/>
      <c r="P51" s="307"/>
      <c r="Q51" s="307"/>
      <c r="R51" s="308"/>
    </row>
    <row r="52" spans="1:18" x14ac:dyDescent="0.2">
      <c r="B52" s="309"/>
      <c r="C52" s="310"/>
      <c r="D52" s="310"/>
      <c r="E52" s="310"/>
      <c r="F52" s="310"/>
      <c r="G52" s="310"/>
      <c r="H52" s="310"/>
      <c r="I52" s="310"/>
      <c r="J52" s="310"/>
      <c r="K52" s="310"/>
      <c r="L52" s="310"/>
      <c r="M52" s="310"/>
      <c r="N52" s="310"/>
      <c r="O52" s="310"/>
      <c r="P52" s="310"/>
      <c r="Q52" s="310"/>
      <c r="R52" s="311"/>
    </row>
    <row r="53" spans="1:18" x14ac:dyDescent="0.2">
      <c r="B53" s="309"/>
      <c r="C53" s="310"/>
      <c r="D53" s="310"/>
      <c r="E53" s="310"/>
      <c r="F53" s="310"/>
      <c r="G53" s="310"/>
      <c r="H53" s="310"/>
      <c r="I53" s="310"/>
      <c r="J53" s="310"/>
      <c r="K53" s="310"/>
      <c r="L53" s="310"/>
      <c r="M53" s="310"/>
      <c r="N53" s="310"/>
      <c r="O53" s="310"/>
      <c r="P53" s="310"/>
      <c r="Q53" s="310"/>
      <c r="R53" s="311"/>
    </row>
    <row r="54" spans="1:18" x14ac:dyDescent="0.2">
      <c r="B54" s="309"/>
      <c r="C54" s="310"/>
      <c r="D54" s="310"/>
      <c r="E54" s="310"/>
      <c r="F54" s="310"/>
      <c r="G54" s="310"/>
      <c r="H54" s="310"/>
      <c r="I54" s="310"/>
      <c r="J54" s="310"/>
      <c r="K54" s="310"/>
      <c r="L54" s="310"/>
      <c r="M54" s="310"/>
      <c r="N54" s="310"/>
      <c r="O54" s="310"/>
      <c r="P54" s="310"/>
      <c r="Q54" s="310"/>
      <c r="R54" s="311"/>
    </row>
    <row r="55" spans="1:18" x14ac:dyDescent="0.2">
      <c r="B55" s="309"/>
      <c r="C55" s="310"/>
      <c r="D55" s="310"/>
      <c r="E55" s="310"/>
      <c r="F55" s="310"/>
      <c r="G55" s="310"/>
      <c r="H55" s="310"/>
      <c r="I55" s="310"/>
      <c r="J55" s="310"/>
      <c r="K55" s="310"/>
      <c r="L55" s="310"/>
      <c r="M55" s="310"/>
      <c r="N55" s="310"/>
      <c r="O55" s="310"/>
      <c r="P55" s="310"/>
      <c r="Q55" s="310"/>
      <c r="R55" s="311"/>
    </row>
    <row r="56" spans="1:18" x14ac:dyDescent="0.2">
      <c r="B56" s="309"/>
      <c r="C56" s="310"/>
      <c r="D56" s="310"/>
      <c r="E56" s="310"/>
      <c r="F56" s="310"/>
      <c r="G56" s="310"/>
      <c r="H56" s="310"/>
      <c r="I56" s="310"/>
      <c r="J56" s="310"/>
      <c r="K56" s="310"/>
      <c r="L56" s="310"/>
      <c r="M56" s="310"/>
      <c r="N56" s="310"/>
      <c r="O56" s="310"/>
      <c r="P56" s="310"/>
      <c r="Q56" s="310"/>
      <c r="R56" s="311"/>
    </row>
    <row r="57" spans="1:18" ht="15.75" thickBot="1" x14ac:dyDescent="0.25">
      <c r="B57" s="312"/>
      <c r="C57" s="313"/>
      <c r="D57" s="313"/>
      <c r="E57" s="313"/>
      <c r="F57" s="313"/>
      <c r="G57" s="313"/>
      <c r="H57" s="313"/>
      <c r="I57" s="313"/>
      <c r="J57" s="313"/>
      <c r="K57" s="313"/>
      <c r="L57" s="313"/>
      <c r="M57" s="313"/>
      <c r="N57" s="313"/>
      <c r="O57" s="313"/>
      <c r="P57" s="313"/>
      <c r="Q57" s="313"/>
      <c r="R57" s="314"/>
    </row>
    <row r="58" spans="1:18" ht="15.75" thickBot="1" x14ac:dyDescent="0.25">
      <c r="R58" s="49"/>
    </row>
    <row r="59" spans="1:18" x14ac:dyDescent="0.2">
      <c r="B59" s="322" t="s">
        <v>197</v>
      </c>
      <c r="C59" s="323"/>
      <c r="D59" s="323"/>
      <c r="E59" s="323"/>
      <c r="F59" s="323"/>
      <c r="G59" s="323"/>
      <c r="H59" s="323"/>
      <c r="I59" s="323"/>
      <c r="J59" s="323"/>
      <c r="K59" s="323"/>
      <c r="L59" s="323"/>
      <c r="M59" s="323"/>
      <c r="N59" s="324"/>
      <c r="R59" s="49"/>
    </row>
    <row r="60" spans="1:18" x14ac:dyDescent="0.2">
      <c r="B60" s="325"/>
      <c r="C60" s="326"/>
      <c r="D60" s="326"/>
      <c r="E60" s="326"/>
      <c r="F60" s="326"/>
      <c r="G60" s="326"/>
      <c r="H60" s="326"/>
      <c r="I60" s="326"/>
      <c r="J60" s="326"/>
      <c r="K60" s="326"/>
      <c r="L60" s="326"/>
      <c r="M60" s="326"/>
      <c r="N60" s="327"/>
      <c r="R60" s="49"/>
    </row>
    <row r="61" spans="1:18" x14ac:dyDescent="0.2">
      <c r="B61" s="325"/>
      <c r="C61" s="326"/>
      <c r="D61" s="326"/>
      <c r="E61" s="326"/>
      <c r="F61" s="326"/>
      <c r="G61" s="326"/>
      <c r="H61" s="326"/>
      <c r="I61" s="326"/>
      <c r="J61" s="326"/>
      <c r="K61" s="326"/>
      <c r="L61" s="326"/>
      <c r="M61" s="326"/>
      <c r="N61" s="327"/>
      <c r="R61" s="49"/>
    </row>
    <row r="62" spans="1:18" ht="15.75" thickBot="1" x14ac:dyDescent="0.25">
      <c r="B62" s="328"/>
      <c r="C62" s="329"/>
      <c r="D62" s="329"/>
      <c r="E62" s="329"/>
      <c r="F62" s="329"/>
      <c r="G62" s="329"/>
      <c r="H62" s="329"/>
      <c r="I62" s="329"/>
      <c r="J62" s="329"/>
      <c r="K62" s="329"/>
      <c r="L62" s="329"/>
      <c r="M62" s="329"/>
      <c r="N62" s="330"/>
      <c r="R62" s="49"/>
    </row>
    <row r="63" spans="1:18" x14ac:dyDescent="0.2">
      <c r="R63" s="49"/>
    </row>
    <row r="64" spans="1: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sheetData>
  <sortState ref="C36:E40">
    <sortCondition descending="1" ref="E36"/>
  </sortState>
  <mergeCells count="7">
    <mergeCell ref="B59:N62"/>
    <mergeCell ref="B51:R57"/>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72"/>
  <sheetViews>
    <sheetView showGridLines="0" zoomScale="75" zoomScaleNormal="75" zoomScaleSheetLayoutView="76" workbookViewId="0"/>
  </sheetViews>
  <sheetFormatPr defaultColWidth="9.140625" defaultRowHeight="15" x14ac:dyDescent="0.2"/>
  <cols>
    <col min="1" max="1" width="2.85546875" style="3" customWidth="1"/>
    <col min="2" max="2" width="3.85546875" style="3" customWidth="1"/>
    <col min="3" max="3" width="55.42578125" style="3" bestFit="1" customWidth="1"/>
    <col min="4" max="4" width="31.8554687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x14ac:dyDescent="0.2">
      <c r="B3" s="93"/>
      <c r="C3" s="300" t="s">
        <v>352</v>
      </c>
      <c r="D3" s="300"/>
      <c r="E3" s="300"/>
      <c r="F3" s="300"/>
      <c r="G3" s="300"/>
      <c r="H3" s="300"/>
      <c r="I3" s="300"/>
      <c r="J3" s="300"/>
      <c r="K3" s="300"/>
      <c r="L3" s="300"/>
      <c r="M3" s="300"/>
      <c r="N3" s="301"/>
    </row>
    <row r="4" spans="2:18" ht="15.75" x14ac:dyDescent="0.25">
      <c r="B4" s="93"/>
      <c r="C4" s="67" t="s">
        <v>430</v>
      </c>
      <c r="D4" s="29"/>
      <c r="E4" s="29"/>
      <c r="F4" s="5"/>
      <c r="G4" s="5"/>
      <c r="H4" s="5"/>
      <c r="I4" s="5"/>
      <c r="J4" s="5"/>
      <c r="K4" s="5"/>
      <c r="L4" s="5"/>
      <c r="M4" s="5"/>
      <c r="N4" s="20"/>
    </row>
    <row r="5" spans="2:18" ht="20.25" x14ac:dyDescent="0.2">
      <c r="B5" s="93"/>
      <c r="C5" s="211" t="s">
        <v>431</v>
      </c>
      <c r="D5" s="317" t="s">
        <v>403</v>
      </c>
      <c r="E5" s="317"/>
      <c r="F5" s="5"/>
      <c r="G5" s="5"/>
      <c r="H5" s="5"/>
      <c r="I5" s="5"/>
      <c r="J5" s="5"/>
      <c r="K5" s="5"/>
      <c r="L5" s="5"/>
      <c r="M5" s="5"/>
      <c r="N5" s="20"/>
    </row>
    <row r="6" spans="2:18" ht="15.75" x14ac:dyDescent="0.25">
      <c r="B6" s="93"/>
      <c r="C6" s="29"/>
      <c r="D6" s="29"/>
      <c r="E6" s="29"/>
      <c r="F6" s="5"/>
      <c r="G6" s="5"/>
      <c r="H6" s="5"/>
      <c r="I6" s="5"/>
      <c r="J6" s="5"/>
      <c r="K6" s="5"/>
      <c r="L6" s="5"/>
      <c r="M6" s="5"/>
      <c r="N6" s="20"/>
    </row>
    <row r="7" spans="2:18" ht="15.75" x14ac:dyDescent="0.2">
      <c r="B7" s="93"/>
      <c r="C7" s="95" t="s">
        <v>43</v>
      </c>
      <c r="D7" s="95" t="s">
        <v>44</v>
      </c>
      <c r="E7" s="95" t="s">
        <v>45</v>
      </c>
      <c r="F7" s="5"/>
      <c r="G7" s="302" t="s">
        <v>46</v>
      </c>
      <c r="H7" s="302"/>
      <c r="I7" s="302"/>
      <c r="J7" s="302"/>
      <c r="K7" s="302"/>
      <c r="L7" s="302"/>
      <c r="M7" s="302"/>
      <c r="N7" s="303"/>
    </row>
    <row r="8" spans="2:18" x14ac:dyDescent="0.2">
      <c r="B8" s="93"/>
      <c r="C8" s="38" t="s">
        <v>29</v>
      </c>
      <c r="D8" s="58" t="s">
        <v>3</v>
      </c>
      <c r="E8" s="6">
        <v>4.5787000000000001E-2</v>
      </c>
      <c r="F8" s="5"/>
      <c r="G8" s="164" t="s">
        <v>47</v>
      </c>
      <c r="H8" s="236">
        <f>100%-H9-H10</f>
        <v>0.97516599999999998</v>
      </c>
      <c r="I8" s="237">
        <f>H8/SUM($H$8:$H$10)</f>
        <v>0.97516599999999998</v>
      </c>
      <c r="J8" s="230"/>
      <c r="K8" s="231"/>
      <c r="L8" s="5"/>
      <c r="M8" s="5"/>
      <c r="N8" s="20"/>
      <c r="R8" s="49"/>
    </row>
    <row r="9" spans="2:18" x14ac:dyDescent="0.2">
      <c r="B9" s="93"/>
      <c r="C9" s="38" t="s">
        <v>31</v>
      </c>
      <c r="D9" s="58" t="s">
        <v>6</v>
      </c>
      <c r="E9" s="6">
        <v>4.3421000000000001E-2</v>
      </c>
      <c r="F9" s="5"/>
      <c r="G9" s="164" t="s">
        <v>57</v>
      </c>
      <c r="H9" s="236">
        <f>E35+E32+E34</f>
        <v>2.4834000000000002E-2</v>
      </c>
      <c r="I9" s="237">
        <f>H9/SUM($H$8:$H$10)</f>
        <v>2.4834000000000002E-2</v>
      </c>
      <c r="J9" s="230" t="s">
        <v>41</v>
      </c>
      <c r="K9" s="231">
        <f>E38</f>
        <v>7.3649999999999993E-2</v>
      </c>
      <c r="L9" s="5"/>
      <c r="M9" s="5"/>
      <c r="N9" s="20"/>
      <c r="R9" s="49"/>
    </row>
    <row r="10" spans="2:18" x14ac:dyDescent="0.2">
      <c r="B10" s="93"/>
      <c r="C10" s="38" t="s">
        <v>32</v>
      </c>
      <c r="D10" s="58" t="s">
        <v>3</v>
      </c>
      <c r="E10" s="6">
        <v>4.1644E-2</v>
      </c>
      <c r="F10" s="31"/>
      <c r="G10" s="164" t="s">
        <v>48</v>
      </c>
      <c r="H10" s="236">
        <v>0</v>
      </c>
      <c r="I10" s="237">
        <f>H10/SUM($H$8:$H$10)</f>
        <v>0</v>
      </c>
      <c r="J10" s="230" t="s">
        <v>138</v>
      </c>
      <c r="K10" s="231">
        <f>E24+E26</f>
        <v>0.77222799999999991</v>
      </c>
      <c r="L10" s="5"/>
      <c r="M10" s="5"/>
      <c r="N10" s="20"/>
      <c r="R10" s="49"/>
    </row>
    <row r="11" spans="2:18" x14ac:dyDescent="0.2">
      <c r="B11" s="93"/>
      <c r="C11" s="38" t="s">
        <v>36</v>
      </c>
      <c r="D11" s="58" t="s">
        <v>3</v>
      </c>
      <c r="E11" s="6">
        <v>3.5764999999999998E-2</v>
      </c>
      <c r="F11" s="5"/>
      <c r="G11" s="230"/>
      <c r="H11" s="230"/>
      <c r="I11" s="230"/>
      <c r="J11" s="230"/>
      <c r="K11" s="231"/>
      <c r="L11" s="5"/>
      <c r="M11" s="5"/>
      <c r="N11" s="20"/>
      <c r="R11" s="49"/>
    </row>
    <row r="12" spans="2:18" x14ac:dyDescent="0.2">
      <c r="B12" s="93"/>
      <c r="C12" s="38" t="s">
        <v>70</v>
      </c>
      <c r="D12" s="58" t="s">
        <v>12</v>
      </c>
      <c r="E12" s="6">
        <v>2.5439E-2</v>
      </c>
      <c r="F12" s="31"/>
      <c r="G12" s="230"/>
      <c r="H12" s="231"/>
      <c r="I12" s="230"/>
      <c r="J12" s="230" t="s">
        <v>20</v>
      </c>
      <c r="K12" s="231">
        <f>E49</f>
        <v>5.0087E-2</v>
      </c>
      <c r="L12" s="5"/>
      <c r="M12" s="5"/>
      <c r="N12" s="20"/>
      <c r="R12" s="49"/>
    </row>
    <row r="13" spans="2:18" x14ac:dyDescent="0.2">
      <c r="B13" s="93"/>
      <c r="C13" s="38" t="s">
        <v>189</v>
      </c>
      <c r="D13" s="58" t="s">
        <v>103</v>
      </c>
      <c r="E13" s="6">
        <v>2.3663E-2</v>
      </c>
      <c r="F13" s="31"/>
      <c r="G13" s="230"/>
      <c r="H13" s="230"/>
      <c r="I13" s="230"/>
      <c r="J13" s="230" t="s">
        <v>42</v>
      </c>
      <c r="K13" s="231">
        <f>E43</f>
        <v>8.7807999999999997E-2</v>
      </c>
      <c r="L13" s="5"/>
      <c r="M13" s="5"/>
      <c r="N13" s="20"/>
      <c r="R13" s="49"/>
    </row>
    <row r="14" spans="2:18" x14ac:dyDescent="0.2">
      <c r="B14" s="93"/>
      <c r="C14" s="38" t="s">
        <v>367</v>
      </c>
      <c r="D14" s="58" t="s">
        <v>26</v>
      </c>
      <c r="E14" s="6">
        <v>2.3595999999999999E-2</v>
      </c>
      <c r="F14" s="31"/>
      <c r="G14" s="230"/>
      <c r="H14" s="230"/>
      <c r="I14" s="230"/>
      <c r="J14" s="230" t="s">
        <v>291</v>
      </c>
      <c r="K14" s="231">
        <f>E47</f>
        <v>1.6198000000000001E-2</v>
      </c>
      <c r="L14" s="5"/>
      <c r="M14" s="5"/>
      <c r="N14" s="20"/>
      <c r="R14" s="49"/>
    </row>
    <row r="15" spans="2:18" x14ac:dyDescent="0.2">
      <c r="B15" s="93"/>
      <c r="C15" s="38" t="s">
        <v>76</v>
      </c>
      <c r="D15" s="58" t="s">
        <v>3</v>
      </c>
      <c r="E15" s="6">
        <v>2.3147000000000001E-2</v>
      </c>
      <c r="F15" s="5"/>
      <c r="G15" s="230"/>
      <c r="H15" s="230"/>
      <c r="I15" s="230"/>
      <c r="J15" s="230" t="s">
        <v>290</v>
      </c>
      <c r="K15" s="231">
        <f>E28</f>
        <v>2.9E-5</v>
      </c>
      <c r="L15" s="5"/>
      <c r="M15" s="5"/>
      <c r="N15" s="20"/>
      <c r="R15" s="49"/>
    </row>
    <row r="16" spans="2:18" x14ac:dyDescent="0.2">
      <c r="B16" s="93"/>
      <c r="C16" s="38" t="s">
        <v>62</v>
      </c>
      <c r="D16" s="58" t="s">
        <v>10</v>
      </c>
      <c r="E16" s="6">
        <v>2.2283000000000001E-2</v>
      </c>
      <c r="F16" s="5"/>
      <c r="G16" s="230"/>
      <c r="H16" s="230"/>
      <c r="I16" s="230"/>
      <c r="J16" s="230"/>
      <c r="K16" s="230"/>
      <c r="L16" s="5"/>
      <c r="M16" s="5"/>
      <c r="N16" s="20"/>
      <c r="R16" s="49"/>
    </row>
    <row r="17" spans="2:18" x14ac:dyDescent="0.2">
      <c r="B17" s="93"/>
      <c r="C17" s="38" t="s">
        <v>239</v>
      </c>
      <c r="D17" s="58" t="s">
        <v>4</v>
      </c>
      <c r="E17" s="6">
        <v>2.2030999999999999E-2</v>
      </c>
      <c r="F17" s="5"/>
      <c r="G17" s="230"/>
      <c r="H17" s="230"/>
      <c r="I17" s="230"/>
      <c r="J17" s="230"/>
      <c r="K17" s="230"/>
      <c r="L17" s="5"/>
      <c r="M17" s="5"/>
      <c r="N17" s="20"/>
      <c r="R17" s="49"/>
    </row>
    <row r="18" spans="2:18" x14ac:dyDescent="0.2">
      <c r="B18" s="93"/>
      <c r="C18" s="38" t="s">
        <v>33</v>
      </c>
      <c r="D18" s="58" t="s">
        <v>104</v>
      </c>
      <c r="E18" s="6">
        <v>2.1635999999999999E-2</v>
      </c>
      <c r="F18" s="5"/>
      <c r="G18" s="5"/>
      <c r="H18" s="5"/>
      <c r="I18" s="5"/>
      <c r="J18" s="5"/>
      <c r="K18" s="5"/>
      <c r="L18" s="5"/>
      <c r="M18" s="5"/>
      <c r="N18" s="20"/>
      <c r="R18" s="49"/>
    </row>
    <row r="19" spans="2:18" ht="30" x14ac:dyDescent="0.2">
      <c r="B19" s="93"/>
      <c r="C19" s="38" t="s">
        <v>258</v>
      </c>
      <c r="D19" s="58" t="s">
        <v>179</v>
      </c>
      <c r="E19" s="6">
        <v>2.0286999999999999E-2</v>
      </c>
      <c r="F19" s="5"/>
      <c r="G19" s="5"/>
      <c r="H19" s="5"/>
      <c r="I19" s="5"/>
      <c r="J19" s="5"/>
      <c r="K19" s="5"/>
      <c r="L19" s="5"/>
      <c r="M19" s="5"/>
      <c r="N19" s="20"/>
      <c r="R19" s="49"/>
    </row>
    <row r="20" spans="2:18" ht="15.75" x14ac:dyDescent="0.25">
      <c r="B20" s="93"/>
      <c r="C20" s="38" t="s">
        <v>117</v>
      </c>
      <c r="D20" s="58" t="s">
        <v>109</v>
      </c>
      <c r="E20" s="6">
        <v>1.8575999999999999E-2</v>
      </c>
      <c r="F20" s="5"/>
      <c r="G20" s="320" t="s">
        <v>97</v>
      </c>
      <c r="H20" s="321"/>
      <c r="I20" s="321"/>
      <c r="J20" s="321"/>
      <c r="K20" s="321"/>
      <c r="L20" s="272" t="s">
        <v>444</v>
      </c>
      <c r="M20" s="104"/>
      <c r="N20" s="170"/>
      <c r="R20" s="49"/>
    </row>
    <row r="21" spans="2:18" x14ac:dyDescent="0.2">
      <c r="B21" s="93"/>
      <c r="C21" s="38" t="s">
        <v>28</v>
      </c>
      <c r="D21" s="58" t="s">
        <v>104</v>
      </c>
      <c r="E21" s="6">
        <v>1.5959000000000001E-2</v>
      </c>
      <c r="F21" s="5"/>
      <c r="G21" s="5"/>
      <c r="H21" s="5"/>
      <c r="I21" s="5"/>
      <c r="J21" s="5"/>
      <c r="K21" s="5"/>
      <c r="L21" s="5"/>
      <c r="M21" s="5"/>
      <c r="N21" s="20"/>
      <c r="R21" s="49"/>
    </row>
    <row r="22" spans="2:18" x14ac:dyDescent="0.2">
      <c r="B22" s="93"/>
      <c r="C22" s="38" t="s">
        <v>383</v>
      </c>
      <c r="D22" s="58" t="s">
        <v>116</v>
      </c>
      <c r="E22" s="6">
        <v>1.5570000000000001E-2</v>
      </c>
      <c r="F22" s="5"/>
      <c r="G22" s="31"/>
      <c r="H22" s="31"/>
      <c r="I22" s="31"/>
      <c r="J22" s="5"/>
      <c r="K22" s="31"/>
      <c r="L22" s="5"/>
      <c r="M22" s="5"/>
      <c r="N22" s="20"/>
      <c r="R22" s="49"/>
    </row>
    <row r="23" spans="2:18" x14ac:dyDescent="0.2">
      <c r="B23" s="93"/>
      <c r="C23" s="38"/>
      <c r="D23" s="58"/>
      <c r="E23" s="6"/>
      <c r="F23" s="5"/>
      <c r="G23" s="302" t="s">
        <v>50</v>
      </c>
      <c r="H23" s="302"/>
      <c r="I23" s="302"/>
      <c r="J23" s="302"/>
      <c r="K23" s="302"/>
      <c r="L23" s="302"/>
      <c r="M23" s="302"/>
      <c r="N23" s="303"/>
      <c r="R23" s="49"/>
    </row>
    <row r="24" spans="2:18" ht="15.75" x14ac:dyDescent="0.2">
      <c r="B24" s="93"/>
      <c r="C24" s="106" t="s">
        <v>56</v>
      </c>
      <c r="D24" s="106"/>
      <c r="E24" s="107">
        <f>SUM(E8:E22)</f>
        <v>0.39880399999999994</v>
      </c>
      <c r="F24" s="5"/>
      <c r="G24" s="5"/>
      <c r="H24" s="5"/>
      <c r="I24" s="5"/>
      <c r="J24" s="5"/>
      <c r="K24" s="5"/>
      <c r="L24" s="5"/>
      <c r="M24" s="5"/>
      <c r="N24" s="20"/>
      <c r="R24" s="49"/>
    </row>
    <row r="25" spans="2:18" x14ac:dyDescent="0.2">
      <c r="B25" s="93"/>
      <c r="C25" s="4"/>
      <c r="D25" s="4"/>
      <c r="E25" s="6"/>
      <c r="F25" s="5"/>
      <c r="G25" s="5"/>
      <c r="H25" s="5"/>
      <c r="I25" s="5"/>
      <c r="J25" s="5"/>
      <c r="K25" s="5"/>
      <c r="L25" s="5"/>
      <c r="M25" s="5"/>
      <c r="N25" s="20"/>
      <c r="R25" s="49"/>
    </row>
    <row r="26" spans="2:18" ht="15.75" x14ac:dyDescent="0.2">
      <c r="B26" s="93"/>
      <c r="C26" s="106" t="s">
        <v>66</v>
      </c>
      <c r="D26" s="106"/>
      <c r="E26" s="107">
        <v>0.37342400000000003</v>
      </c>
      <c r="F26" s="31"/>
      <c r="G26" s="5"/>
      <c r="H26" s="5"/>
      <c r="I26" s="5"/>
      <c r="J26" s="5"/>
      <c r="K26" s="5"/>
      <c r="L26" s="5"/>
      <c r="M26" s="5"/>
      <c r="N26" s="20"/>
      <c r="R26" s="49"/>
    </row>
    <row r="27" spans="2:18" x14ac:dyDescent="0.2">
      <c r="B27" s="93"/>
      <c r="C27" s="38"/>
      <c r="D27" s="58"/>
      <c r="E27" s="6"/>
      <c r="F27" s="5"/>
      <c r="G27" s="5"/>
      <c r="H27" s="5"/>
      <c r="I27" s="5"/>
      <c r="J27" s="5"/>
      <c r="K27" s="5"/>
      <c r="L27" s="5"/>
      <c r="M27" s="5"/>
      <c r="N27" s="20"/>
      <c r="R27" s="49"/>
    </row>
    <row r="28" spans="2:18" s="48" customFormat="1" ht="15.75" x14ac:dyDescent="0.2">
      <c r="B28" s="108"/>
      <c r="C28" s="106" t="s">
        <v>290</v>
      </c>
      <c r="D28" s="106"/>
      <c r="E28" s="107">
        <v>2.9E-5</v>
      </c>
      <c r="F28" s="41"/>
      <c r="G28" s="41"/>
      <c r="H28" s="41"/>
      <c r="I28" s="41"/>
      <c r="J28" s="41"/>
      <c r="K28" s="41"/>
      <c r="L28" s="41"/>
      <c r="M28" s="41"/>
      <c r="N28" s="109"/>
      <c r="R28" s="110"/>
    </row>
    <row r="29" spans="2:18" x14ac:dyDescent="0.2">
      <c r="B29" s="93"/>
      <c r="C29" s="38"/>
      <c r="D29" s="58"/>
      <c r="E29" s="6"/>
      <c r="F29" s="5"/>
      <c r="G29" s="5"/>
      <c r="H29" s="5"/>
      <c r="I29" s="5"/>
      <c r="J29" s="5"/>
      <c r="K29" s="5"/>
      <c r="L29" s="5"/>
      <c r="M29" s="5"/>
      <c r="N29" s="20"/>
      <c r="R29" s="49"/>
    </row>
    <row r="30" spans="2:18" x14ac:dyDescent="0.2">
      <c r="B30" s="93"/>
      <c r="C30" s="38"/>
      <c r="D30" s="58"/>
      <c r="E30" s="6"/>
      <c r="F30" s="5"/>
      <c r="G30" s="5"/>
      <c r="H30" s="5"/>
      <c r="I30" s="5"/>
      <c r="J30" s="5"/>
      <c r="K30" s="5"/>
      <c r="L30" s="5"/>
      <c r="M30" s="5"/>
      <c r="N30" s="20"/>
      <c r="R30" s="49"/>
    </row>
    <row r="31" spans="2:18" x14ac:dyDescent="0.2">
      <c r="B31" s="93"/>
      <c r="C31" s="38" t="s">
        <v>261</v>
      </c>
      <c r="D31" s="58" t="s">
        <v>63</v>
      </c>
      <c r="E31" s="6">
        <v>2.7695999999999998E-2</v>
      </c>
      <c r="F31" s="5"/>
      <c r="G31" s="5"/>
      <c r="H31" s="5"/>
      <c r="I31" s="5"/>
      <c r="J31" s="5"/>
      <c r="K31" s="5"/>
      <c r="L31" s="5"/>
      <c r="M31" s="5"/>
      <c r="N31" s="20"/>
      <c r="R31" s="49"/>
    </row>
    <row r="32" spans="2:18" x14ac:dyDescent="0.2">
      <c r="B32" s="93"/>
      <c r="C32" s="38" t="s">
        <v>308</v>
      </c>
      <c r="D32" s="58" t="s">
        <v>249</v>
      </c>
      <c r="E32" s="6">
        <v>1.1308E-2</v>
      </c>
      <c r="F32" s="5"/>
      <c r="G32" s="5"/>
      <c r="H32" s="5"/>
      <c r="I32" s="5"/>
      <c r="J32" s="5"/>
      <c r="K32" s="5"/>
      <c r="L32" s="5"/>
      <c r="M32" s="5"/>
      <c r="N32" s="20"/>
      <c r="R32" s="49"/>
    </row>
    <row r="33" spans="1:18" x14ac:dyDescent="0.2">
      <c r="B33" s="93"/>
      <c r="C33" s="38" t="s">
        <v>69</v>
      </c>
      <c r="D33" s="58" t="s">
        <v>63</v>
      </c>
      <c r="E33" s="6">
        <v>8.8970000000000004E-3</v>
      </c>
      <c r="F33" s="5"/>
      <c r="G33" s="5"/>
      <c r="H33" s="5"/>
      <c r="I33" s="5"/>
      <c r="J33" s="5"/>
      <c r="K33" s="5"/>
      <c r="L33" s="5"/>
      <c r="M33" s="5"/>
      <c r="N33" s="20"/>
      <c r="R33" s="49"/>
    </row>
    <row r="34" spans="1:18" x14ac:dyDescent="0.2">
      <c r="B34" s="93"/>
      <c r="C34" s="38" t="s">
        <v>251</v>
      </c>
      <c r="D34" s="58" t="s">
        <v>249</v>
      </c>
      <c r="E34" s="6">
        <v>6.7999999999999996E-3</v>
      </c>
      <c r="F34" s="5"/>
      <c r="G34" s="5"/>
      <c r="H34" s="5"/>
      <c r="I34" s="5"/>
      <c r="J34" s="5"/>
      <c r="K34" s="5"/>
      <c r="L34" s="5"/>
      <c r="M34" s="5"/>
      <c r="N34" s="20"/>
      <c r="R34" s="49"/>
    </row>
    <row r="35" spans="1:18" x14ac:dyDescent="0.2">
      <c r="B35" s="93"/>
      <c r="C35" s="38" t="s">
        <v>248</v>
      </c>
      <c r="D35" s="58" t="s">
        <v>249</v>
      </c>
      <c r="E35" s="6">
        <v>6.7260000000000002E-3</v>
      </c>
      <c r="F35" s="5"/>
      <c r="G35" s="5"/>
      <c r="H35" s="5"/>
      <c r="I35" s="5"/>
      <c r="J35" s="5"/>
      <c r="K35" s="5"/>
      <c r="L35" s="5"/>
      <c r="M35" s="5"/>
      <c r="N35" s="20"/>
      <c r="R35" s="49"/>
    </row>
    <row r="36" spans="1:18" x14ac:dyDescent="0.2">
      <c r="B36" s="93"/>
      <c r="C36" s="38" t="s">
        <v>78</v>
      </c>
      <c r="D36" s="58" t="s">
        <v>63</v>
      </c>
      <c r="E36" s="6">
        <v>6.6770000000000006E-3</v>
      </c>
      <c r="F36" s="5"/>
      <c r="G36" s="5"/>
      <c r="H36" s="5"/>
      <c r="I36" s="5"/>
      <c r="J36" s="5"/>
      <c r="K36" s="5"/>
      <c r="L36" s="5"/>
      <c r="M36" s="5"/>
      <c r="N36" s="20"/>
      <c r="R36" s="49"/>
    </row>
    <row r="37" spans="1:18" x14ac:dyDescent="0.2">
      <c r="B37" s="93"/>
      <c r="C37" s="38" t="s">
        <v>29</v>
      </c>
      <c r="D37" s="58" t="s">
        <v>63</v>
      </c>
      <c r="E37" s="6">
        <v>5.5459999999999997E-3</v>
      </c>
      <c r="F37" s="5"/>
      <c r="G37" s="5"/>
      <c r="H37" s="5"/>
      <c r="I37" s="5"/>
      <c r="J37" s="5"/>
      <c r="K37" s="5"/>
      <c r="L37" s="5"/>
      <c r="M37" s="5"/>
      <c r="N37" s="20"/>
      <c r="R37" s="49"/>
    </row>
    <row r="38" spans="1:18" ht="15.75" x14ac:dyDescent="0.2">
      <c r="B38" s="93"/>
      <c r="C38" s="106" t="s">
        <v>49</v>
      </c>
      <c r="D38" s="106"/>
      <c r="E38" s="107">
        <v>7.3649999999999993E-2</v>
      </c>
      <c r="F38" s="5"/>
      <c r="G38" s="5"/>
      <c r="H38" s="5"/>
      <c r="I38" s="5"/>
      <c r="J38" s="5"/>
      <c r="K38" s="5"/>
      <c r="L38" s="5"/>
      <c r="M38" s="5"/>
      <c r="N38" s="20"/>
      <c r="R38" s="49"/>
    </row>
    <row r="39" spans="1:18" s="48" customFormat="1" x14ac:dyDescent="0.2">
      <c r="B39" s="108"/>
      <c r="C39" s="38"/>
      <c r="D39" s="4"/>
      <c r="E39" s="189"/>
      <c r="F39" s="41"/>
      <c r="G39" s="5"/>
      <c r="H39" s="5"/>
      <c r="I39" s="5"/>
      <c r="J39" s="5"/>
      <c r="K39" s="5"/>
      <c r="L39" s="41"/>
      <c r="M39" s="41"/>
      <c r="N39" s="109"/>
      <c r="R39" s="110"/>
    </row>
    <row r="40" spans="1:18" x14ac:dyDescent="0.2">
      <c r="B40" s="93"/>
      <c r="C40" s="38" t="s">
        <v>212</v>
      </c>
      <c r="D40" s="4" t="s">
        <v>61</v>
      </c>
      <c r="E40" s="189">
        <v>8.4481000000000001E-2</v>
      </c>
      <c r="F40" s="5"/>
      <c r="G40" s="5"/>
      <c r="H40" s="5"/>
      <c r="I40" s="5"/>
      <c r="J40" s="5"/>
      <c r="K40" s="5"/>
      <c r="L40" s="5"/>
      <c r="M40" s="5"/>
      <c r="N40" s="20"/>
      <c r="R40" s="49"/>
    </row>
    <row r="41" spans="1:18" x14ac:dyDescent="0.2">
      <c r="A41" s="5"/>
      <c r="B41" s="93"/>
      <c r="C41" s="38" t="s">
        <v>67</v>
      </c>
      <c r="D41" s="4" t="s">
        <v>61</v>
      </c>
      <c r="E41" s="189">
        <v>2.2889999999999998E-3</v>
      </c>
      <c r="F41" s="5"/>
      <c r="G41" s="5"/>
      <c r="H41" s="5"/>
      <c r="I41" s="5"/>
      <c r="J41" s="5"/>
      <c r="K41" s="5"/>
      <c r="L41" s="5"/>
      <c r="M41" s="5"/>
      <c r="N41" s="20"/>
      <c r="O41" s="5"/>
      <c r="R41" s="49"/>
    </row>
    <row r="42" spans="1:18" x14ac:dyDescent="0.2">
      <c r="A42" s="5"/>
      <c r="B42" s="93"/>
      <c r="C42" s="38" t="s">
        <v>71</v>
      </c>
      <c r="D42" s="4" t="s">
        <v>61</v>
      </c>
      <c r="E42" s="189">
        <v>1.0380000000000001E-3</v>
      </c>
      <c r="F42" s="5"/>
      <c r="G42" s="5"/>
      <c r="H42" s="5"/>
      <c r="I42" s="5"/>
      <c r="J42" s="5"/>
      <c r="K42" s="5"/>
      <c r="L42" s="5"/>
      <c r="M42" s="5"/>
      <c r="N42" s="20"/>
      <c r="O42" s="5"/>
      <c r="R42" s="49"/>
    </row>
    <row r="43" spans="1:18" ht="15.75" x14ac:dyDescent="0.2">
      <c r="A43" s="5"/>
      <c r="B43" s="93"/>
      <c r="C43" s="106" t="s">
        <v>42</v>
      </c>
      <c r="D43" s="106"/>
      <c r="E43" s="107">
        <v>8.7807999999999997E-2</v>
      </c>
      <c r="F43" s="5"/>
      <c r="G43" s="5"/>
      <c r="H43" s="5"/>
      <c r="I43" s="5"/>
      <c r="J43" s="5"/>
      <c r="K43" s="5"/>
      <c r="L43" s="5"/>
      <c r="M43" s="5"/>
      <c r="N43" s="20"/>
      <c r="O43" s="5"/>
      <c r="R43" s="49"/>
    </row>
    <row r="44" spans="1:18" x14ac:dyDescent="0.2">
      <c r="A44" s="5"/>
      <c r="B44" s="93"/>
      <c r="C44" s="38" t="s">
        <v>314</v>
      </c>
      <c r="D44" s="4" t="s">
        <v>61</v>
      </c>
      <c r="E44" s="189">
        <v>6.2110000000000004E-3</v>
      </c>
      <c r="F44" s="5"/>
      <c r="G44" s="5"/>
      <c r="H44" s="5"/>
      <c r="I44" s="5"/>
      <c r="J44" s="5"/>
      <c r="K44" s="5"/>
      <c r="L44" s="5"/>
      <c r="M44" s="5"/>
      <c r="N44" s="20"/>
      <c r="O44" s="5"/>
      <c r="R44" s="49"/>
    </row>
    <row r="45" spans="1:18" x14ac:dyDescent="0.2">
      <c r="A45" s="5"/>
      <c r="B45" s="93"/>
      <c r="C45" s="38" t="s">
        <v>309</v>
      </c>
      <c r="D45" s="4" t="s">
        <v>61</v>
      </c>
      <c r="E45" s="189">
        <v>5.8370000000000002E-3</v>
      </c>
      <c r="F45" s="5"/>
      <c r="G45" s="5"/>
      <c r="H45" s="5"/>
      <c r="I45" s="5"/>
      <c r="J45" s="5"/>
      <c r="K45" s="5"/>
      <c r="L45" s="5"/>
      <c r="M45" s="5"/>
      <c r="N45" s="20"/>
      <c r="O45" s="5"/>
      <c r="R45" s="49"/>
    </row>
    <row r="46" spans="1:18" x14ac:dyDescent="0.2">
      <c r="A46" s="5"/>
      <c r="B46" s="93"/>
      <c r="C46" s="38" t="s">
        <v>315</v>
      </c>
      <c r="D46" s="4" t="s">
        <v>61</v>
      </c>
      <c r="E46" s="189">
        <v>4.15E-3</v>
      </c>
      <c r="F46" s="5"/>
      <c r="G46" s="5"/>
      <c r="H46" s="5"/>
      <c r="I46" s="5"/>
      <c r="J46" s="5"/>
      <c r="K46" s="5"/>
      <c r="L46" s="5"/>
      <c r="M46" s="5"/>
      <c r="N46" s="20"/>
      <c r="O46" s="5"/>
      <c r="R46" s="49"/>
    </row>
    <row r="47" spans="1:18" ht="15.75" x14ac:dyDescent="0.2">
      <c r="A47" s="5"/>
      <c r="B47" s="93"/>
      <c r="C47" s="106" t="s">
        <v>291</v>
      </c>
      <c r="D47" s="106"/>
      <c r="E47" s="107">
        <v>1.6198000000000001E-2</v>
      </c>
      <c r="F47" s="5"/>
      <c r="G47" s="5"/>
      <c r="H47" s="5"/>
      <c r="I47" s="5"/>
      <c r="J47" s="5"/>
      <c r="K47" s="5"/>
      <c r="L47" s="5"/>
      <c r="M47" s="5"/>
      <c r="N47" s="20"/>
      <c r="O47" s="5"/>
      <c r="R47" s="49"/>
    </row>
    <row r="48" spans="1:18" x14ac:dyDescent="0.2">
      <c r="A48" s="5"/>
      <c r="B48" s="93"/>
      <c r="C48" s="4"/>
      <c r="D48" s="4"/>
      <c r="E48" s="32"/>
      <c r="F48" s="5"/>
      <c r="G48" s="5"/>
      <c r="H48" s="5"/>
      <c r="I48" s="5"/>
      <c r="J48" s="5"/>
      <c r="K48" s="5"/>
      <c r="L48" s="5"/>
      <c r="M48" s="5"/>
      <c r="N48" s="20"/>
      <c r="O48" s="5"/>
      <c r="R48" s="49"/>
    </row>
    <row r="49" spans="1:18" ht="15.75" x14ac:dyDescent="0.2">
      <c r="A49" s="5"/>
      <c r="B49" s="93"/>
      <c r="C49" s="106" t="s">
        <v>20</v>
      </c>
      <c r="D49" s="106"/>
      <c r="E49" s="107">
        <v>5.0087E-2</v>
      </c>
      <c r="F49" s="5"/>
      <c r="G49" s="5"/>
      <c r="H49" s="5"/>
      <c r="I49" s="5"/>
      <c r="J49" s="5"/>
      <c r="K49" s="5"/>
      <c r="L49" s="5"/>
      <c r="M49" s="5"/>
      <c r="N49" s="20"/>
      <c r="O49" s="5"/>
      <c r="R49" s="49"/>
    </row>
    <row r="50" spans="1:18" x14ac:dyDescent="0.2">
      <c r="A50" s="5"/>
      <c r="B50" s="93"/>
      <c r="C50" s="4"/>
      <c r="D50" s="4"/>
      <c r="E50" s="32"/>
      <c r="F50" s="5"/>
      <c r="G50" s="5"/>
      <c r="H50" s="5"/>
      <c r="I50" s="5"/>
      <c r="J50" s="5"/>
      <c r="K50" s="5"/>
      <c r="L50" s="5"/>
      <c r="M50" s="5"/>
      <c r="N50" s="20"/>
      <c r="O50" s="5"/>
      <c r="R50" s="49"/>
    </row>
    <row r="51" spans="1:18" ht="15.75" x14ac:dyDescent="0.2">
      <c r="A51" s="5"/>
      <c r="B51" s="93"/>
      <c r="C51" s="113" t="s">
        <v>21</v>
      </c>
      <c r="D51" s="113"/>
      <c r="E51" s="114">
        <f>E49+E47+E43+E38+E26+E24+E28</f>
        <v>0.99999999999999989</v>
      </c>
      <c r="F51" s="5"/>
      <c r="G51" s="5"/>
      <c r="H51" s="5"/>
      <c r="I51" s="5"/>
      <c r="J51" s="5"/>
      <c r="K51" s="5"/>
      <c r="L51" s="5"/>
      <c r="M51" s="5"/>
      <c r="N51" s="20"/>
      <c r="O51" s="5"/>
      <c r="R51" s="49"/>
    </row>
    <row r="52" spans="1:18" x14ac:dyDescent="0.2">
      <c r="A52" s="5"/>
      <c r="B52" s="93"/>
      <c r="C52" s="5"/>
      <c r="D52" s="5"/>
      <c r="E52" s="5"/>
      <c r="F52" s="5"/>
      <c r="G52" s="5"/>
      <c r="H52" s="5"/>
      <c r="I52" s="5"/>
      <c r="J52" s="5"/>
      <c r="K52" s="5"/>
      <c r="L52" s="5"/>
      <c r="M52" s="5"/>
      <c r="N52" s="20"/>
      <c r="O52" s="5"/>
      <c r="R52" s="49"/>
    </row>
    <row r="53" spans="1:18" ht="15.75" thickBot="1" x14ac:dyDescent="0.25">
      <c r="A53" s="5"/>
      <c r="B53" s="96"/>
      <c r="C53" s="45"/>
      <c r="D53" s="45"/>
      <c r="E53" s="45"/>
      <c r="F53" s="45"/>
      <c r="G53" s="45"/>
      <c r="H53" s="45"/>
      <c r="I53" s="45"/>
      <c r="J53" s="45"/>
      <c r="K53" s="45"/>
      <c r="L53" s="45"/>
      <c r="M53" s="45"/>
      <c r="N53" s="116"/>
      <c r="O53" s="5"/>
      <c r="R53" s="49"/>
    </row>
    <row r="54" spans="1:18" ht="15.75" thickBot="1" x14ac:dyDescent="0.25">
      <c r="R54" s="49"/>
    </row>
    <row r="55" spans="1:18" x14ac:dyDescent="0.2">
      <c r="B55" s="306" t="s">
        <v>177</v>
      </c>
      <c r="C55" s="307"/>
      <c r="D55" s="307"/>
      <c r="E55" s="307"/>
      <c r="F55" s="307"/>
      <c r="G55" s="307"/>
      <c r="H55" s="307"/>
      <c r="I55" s="307"/>
      <c r="J55" s="307"/>
      <c r="K55" s="307"/>
      <c r="L55" s="307"/>
      <c r="M55" s="307"/>
      <c r="N55" s="307"/>
      <c r="O55" s="307"/>
      <c r="P55" s="307"/>
      <c r="Q55" s="307"/>
      <c r="R55" s="308"/>
    </row>
    <row r="56" spans="1:18" x14ac:dyDescent="0.2">
      <c r="B56" s="309"/>
      <c r="C56" s="310"/>
      <c r="D56" s="310"/>
      <c r="E56" s="310"/>
      <c r="F56" s="310"/>
      <c r="G56" s="310"/>
      <c r="H56" s="310"/>
      <c r="I56" s="310"/>
      <c r="J56" s="310"/>
      <c r="K56" s="310"/>
      <c r="L56" s="310"/>
      <c r="M56" s="310"/>
      <c r="N56" s="310"/>
      <c r="O56" s="310"/>
      <c r="P56" s="310"/>
      <c r="Q56" s="310"/>
      <c r="R56" s="311"/>
    </row>
    <row r="57" spans="1:18" x14ac:dyDescent="0.2">
      <c r="B57" s="309"/>
      <c r="C57" s="310"/>
      <c r="D57" s="310"/>
      <c r="E57" s="310"/>
      <c r="F57" s="310"/>
      <c r="G57" s="310"/>
      <c r="H57" s="310"/>
      <c r="I57" s="310"/>
      <c r="J57" s="310"/>
      <c r="K57" s="310"/>
      <c r="L57" s="310"/>
      <c r="M57" s="310"/>
      <c r="N57" s="310"/>
      <c r="O57" s="310"/>
      <c r="P57" s="310"/>
      <c r="Q57" s="310"/>
      <c r="R57" s="311"/>
    </row>
    <row r="58" spans="1:18" x14ac:dyDescent="0.2">
      <c r="B58" s="309"/>
      <c r="C58" s="310"/>
      <c r="D58" s="310"/>
      <c r="E58" s="310"/>
      <c r="F58" s="310"/>
      <c r="G58" s="310"/>
      <c r="H58" s="310"/>
      <c r="I58" s="310"/>
      <c r="J58" s="310"/>
      <c r="K58" s="310"/>
      <c r="L58" s="310"/>
      <c r="M58" s="310"/>
      <c r="N58" s="310"/>
      <c r="O58" s="310"/>
      <c r="P58" s="310"/>
      <c r="Q58" s="310"/>
      <c r="R58" s="311"/>
    </row>
    <row r="59" spans="1:18" x14ac:dyDescent="0.2">
      <c r="B59" s="309"/>
      <c r="C59" s="310"/>
      <c r="D59" s="310"/>
      <c r="E59" s="310"/>
      <c r="F59" s="310"/>
      <c r="G59" s="310"/>
      <c r="H59" s="310"/>
      <c r="I59" s="310"/>
      <c r="J59" s="310"/>
      <c r="K59" s="310"/>
      <c r="L59" s="310"/>
      <c r="M59" s="310"/>
      <c r="N59" s="310"/>
      <c r="O59" s="310"/>
      <c r="P59" s="310"/>
      <c r="Q59" s="310"/>
      <c r="R59" s="311"/>
    </row>
    <row r="60" spans="1:18" x14ac:dyDescent="0.2">
      <c r="B60" s="309"/>
      <c r="C60" s="310"/>
      <c r="D60" s="310"/>
      <c r="E60" s="310"/>
      <c r="F60" s="310"/>
      <c r="G60" s="310"/>
      <c r="H60" s="310"/>
      <c r="I60" s="310"/>
      <c r="J60" s="310"/>
      <c r="K60" s="310"/>
      <c r="L60" s="310"/>
      <c r="M60" s="310"/>
      <c r="N60" s="310"/>
      <c r="O60" s="310"/>
      <c r="P60" s="310"/>
      <c r="Q60" s="310"/>
      <c r="R60" s="311"/>
    </row>
    <row r="61" spans="1:18" ht="15.75" thickBot="1" x14ac:dyDescent="0.25">
      <c r="B61" s="312"/>
      <c r="C61" s="313"/>
      <c r="D61" s="313"/>
      <c r="E61" s="313"/>
      <c r="F61" s="313"/>
      <c r="G61" s="313"/>
      <c r="H61" s="313"/>
      <c r="I61" s="313"/>
      <c r="J61" s="313"/>
      <c r="K61" s="313"/>
      <c r="L61" s="313"/>
      <c r="M61" s="313"/>
      <c r="N61" s="313"/>
      <c r="O61" s="313"/>
      <c r="P61" s="313"/>
      <c r="Q61" s="313"/>
      <c r="R61" s="314"/>
    </row>
    <row r="62" spans="1:18" x14ac:dyDescent="0.2">
      <c r="R62" s="49"/>
    </row>
    <row r="63" spans="1:18" x14ac:dyDescent="0.2">
      <c r="R63" s="49"/>
    </row>
    <row r="64" spans="1: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row r="671" spans="18:18" x14ac:dyDescent="0.2">
      <c r="R671" s="49"/>
    </row>
    <row r="672" spans="18:18" x14ac:dyDescent="0.2">
      <c r="R672" s="49"/>
    </row>
  </sheetData>
  <sortState ref="C44:E46">
    <sortCondition descending="1" ref="E44"/>
  </sortState>
  <mergeCells count="6">
    <mergeCell ref="B55:R61"/>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codeName="Sheet26">
    <pageSetUpPr fitToPage="1"/>
  </sheetPr>
  <dimension ref="A1:S652"/>
  <sheetViews>
    <sheetView showGridLines="0" zoomScale="75" zoomScaleNormal="75" zoomScaleSheetLayoutView="76" workbookViewId="0"/>
  </sheetViews>
  <sheetFormatPr defaultColWidth="9.140625"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10"/>
    </row>
    <row r="3" spans="2:19" ht="20.25" customHeight="1" x14ac:dyDescent="0.2">
      <c r="B3" s="93"/>
      <c r="C3" s="300" t="s">
        <v>194</v>
      </c>
      <c r="D3" s="300"/>
      <c r="E3" s="300"/>
      <c r="F3" s="300"/>
      <c r="G3" s="300"/>
      <c r="H3" s="300"/>
      <c r="I3" s="300"/>
      <c r="J3" s="300"/>
      <c r="K3" s="300"/>
      <c r="L3" s="300"/>
      <c r="M3" s="300"/>
      <c r="N3" s="301"/>
    </row>
    <row r="4" spans="2:19" ht="15.75" x14ac:dyDescent="0.25">
      <c r="B4" s="93"/>
      <c r="C4" s="67" t="s">
        <v>430</v>
      </c>
      <c r="D4" s="29"/>
      <c r="E4" s="29"/>
      <c r="F4" s="5"/>
      <c r="G4" s="5"/>
      <c r="H4" s="5"/>
      <c r="I4" s="5"/>
      <c r="J4" s="5"/>
      <c r="K4" s="5"/>
      <c r="L4" s="5"/>
      <c r="M4" s="5"/>
      <c r="N4" s="20"/>
    </row>
    <row r="5" spans="2:19" ht="20.25" customHeight="1" x14ac:dyDescent="0.2">
      <c r="B5" s="93"/>
      <c r="C5" s="211" t="s">
        <v>431</v>
      </c>
      <c r="D5" s="317" t="s">
        <v>404</v>
      </c>
      <c r="E5" s="317"/>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218" t="s">
        <v>45</v>
      </c>
      <c r="F7" s="5"/>
      <c r="G7" s="5"/>
      <c r="H7" s="5"/>
      <c r="I7" s="5"/>
      <c r="J7" s="5"/>
      <c r="K7" s="5"/>
      <c r="L7" s="5"/>
      <c r="M7" s="5"/>
      <c r="N7" s="20"/>
      <c r="P7" s="283" t="s">
        <v>3</v>
      </c>
      <c r="Q7" s="282">
        <v>9.2479000000000006E-2</v>
      </c>
    </row>
    <row r="8" spans="2:19" ht="15.75" x14ac:dyDescent="0.25">
      <c r="B8" s="93"/>
      <c r="C8" s="38" t="s">
        <v>70</v>
      </c>
      <c r="D8" s="4" t="s">
        <v>12</v>
      </c>
      <c r="E8" s="189">
        <v>5.6247999999999999E-2</v>
      </c>
      <c r="F8" s="5"/>
      <c r="G8" s="5"/>
      <c r="H8" s="5"/>
      <c r="I8" s="5"/>
      <c r="J8" s="5"/>
      <c r="K8" s="5"/>
      <c r="L8" s="5"/>
      <c r="M8" s="5"/>
      <c r="N8" s="20"/>
      <c r="P8" s="283" t="s">
        <v>12</v>
      </c>
      <c r="Q8" s="282">
        <v>5.6247999999999999E-2</v>
      </c>
      <c r="R8" s="49"/>
    </row>
    <row r="9" spans="2:19" ht="15.75" customHeight="1" x14ac:dyDescent="0.25">
      <c r="B9" s="93"/>
      <c r="C9" s="38" t="s">
        <v>29</v>
      </c>
      <c r="D9" s="4" t="s">
        <v>3</v>
      </c>
      <c r="E9" s="189">
        <v>3.3458000000000002E-2</v>
      </c>
      <c r="F9" s="5"/>
      <c r="G9" s="5"/>
      <c r="H9" s="5"/>
      <c r="I9" s="5"/>
      <c r="J9" s="5"/>
      <c r="K9" s="5"/>
      <c r="L9" s="5"/>
      <c r="M9" s="5"/>
      <c r="N9" s="20"/>
      <c r="P9" s="283" t="s">
        <v>109</v>
      </c>
      <c r="Q9" s="282">
        <v>3.8747000000000004E-2</v>
      </c>
      <c r="R9" s="49"/>
    </row>
    <row r="10" spans="2:19" ht="15.75" x14ac:dyDescent="0.25">
      <c r="B10" s="93"/>
      <c r="C10" s="38" t="s">
        <v>31</v>
      </c>
      <c r="D10" s="4" t="s">
        <v>6</v>
      </c>
      <c r="E10" s="189">
        <v>3.1979999999999995E-2</v>
      </c>
      <c r="F10" s="31"/>
      <c r="G10" s="5"/>
      <c r="H10" s="5"/>
      <c r="I10" s="5"/>
      <c r="J10" s="5"/>
      <c r="K10" s="5"/>
      <c r="L10" s="5"/>
      <c r="M10" s="5"/>
      <c r="N10" s="20"/>
      <c r="P10" s="283" t="s">
        <v>26</v>
      </c>
      <c r="Q10" s="282">
        <v>3.4321999999999998E-2</v>
      </c>
      <c r="R10" s="49"/>
    </row>
    <row r="11" spans="2:19" ht="15.75" x14ac:dyDescent="0.25">
      <c r="B11" s="93"/>
      <c r="C11" s="38" t="s">
        <v>32</v>
      </c>
      <c r="D11" s="4" t="s">
        <v>3</v>
      </c>
      <c r="E11" s="189">
        <v>2.7354000000000003E-2</v>
      </c>
      <c r="F11" s="5"/>
      <c r="G11" s="5"/>
      <c r="H11" s="5"/>
      <c r="I11" s="5"/>
      <c r="J11" s="5"/>
      <c r="K11" s="5"/>
      <c r="L11" s="5"/>
      <c r="M11" s="5"/>
      <c r="N11" s="20"/>
      <c r="P11" s="283" t="s">
        <v>4</v>
      </c>
      <c r="Q11" s="282">
        <v>3.4084999999999997E-2</v>
      </c>
      <c r="R11" s="49"/>
    </row>
    <row r="12" spans="2:19" ht="15.75" customHeight="1" x14ac:dyDescent="0.25">
      <c r="B12" s="93"/>
      <c r="C12" s="38" t="s">
        <v>36</v>
      </c>
      <c r="D12" s="4" t="s">
        <v>3</v>
      </c>
      <c r="E12" s="189">
        <v>2.2363000000000001E-2</v>
      </c>
      <c r="F12" s="31"/>
      <c r="G12" s="5"/>
      <c r="H12" s="5"/>
      <c r="I12" s="5"/>
      <c r="J12" s="5"/>
      <c r="K12" s="5"/>
      <c r="L12" s="5"/>
      <c r="M12" s="5"/>
      <c r="N12" s="20"/>
      <c r="P12" s="283" t="s">
        <v>6</v>
      </c>
      <c r="Q12" s="282">
        <v>3.1979999999999995E-2</v>
      </c>
      <c r="R12" s="49"/>
    </row>
    <row r="13" spans="2:19" ht="15.75" x14ac:dyDescent="0.25">
      <c r="B13" s="93"/>
      <c r="C13" s="38" t="s">
        <v>222</v>
      </c>
      <c r="D13" s="4" t="s">
        <v>26</v>
      </c>
      <c r="E13" s="189">
        <v>1.8502999999999999E-2</v>
      </c>
      <c r="F13" s="31"/>
      <c r="G13" s="5"/>
      <c r="H13" s="5"/>
      <c r="I13" s="5"/>
      <c r="J13" s="5"/>
      <c r="K13" s="5"/>
      <c r="L13" s="5"/>
      <c r="M13" s="5"/>
      <c r="N13" s="20"/>
      <c r="P13" s="283" t="s">
        <v>104</v>
      </c>
      <c r="Q13" s="282">
        <v>3.0489000000000002E-2</v>
      </c>
      <c r="R13" s="49"/>
    </row>
    <row r="14" spans="2:19" ht="15.75" x14ac:dyDescent="0.25">
      <c r="B14" s="93"/>
      <c r="C14" s="38" t="s">
        <v>30</v>
      </c>
      <c r="D14" s="4" t="s">
        <v>114</v>
      </c>
      <c r="E14" s="189">
        <v>1.7409000000000001E-2</v>
      </c>
      <c r="F14" s="31"/>
      <c r="G14" s="5"/>
      <c r="H14" s="5"/>
      <c r="I14" s="5"/>
      <c r="J14" s="5"/>
      <c r="K14" s="5"/>
      <c r="L14" s="5"/>
      <c r="M14" s="5"/>
      <c r="N14" s="20"/>
      <c r="P14" s="283" t="s">
        <v>116</v>
      </c>
      <c r="Q14" s="282">
        <v>2.1948000000000002E-2</v>
      </c>
      <c r="R14" s="49"/>
    </row>
    <row r="15" spans="2:19" ht="15.75" x14ac:dyDescent="0.25">
      <c r="B15" s="93"/>
      <c r="C15" s="38" t="s">
        <v>93</v>
      </c>
      <c r="D15" s="4" t="s">
        <v>109</v>
      </c>
      <c r="E15" s="189">
        <v>1.6383999999999999E-2</v>
      </c>
      <c r="F15" s="5"/>
      <c r="G15" s="5"/>
      <c r="H15" s="5"/>
      <c r="I15" s="5"/>
      <c r="J15" s="5"/>
      <c r="K15" s="5"/>
      <c r="L15" s="5"/>
      <c r="M15" s="5"/>
      <c r="N15" s="20"/>
      <c r="P15" s="283" t="s">
        <v>11</v>
      </c>
      <c r="Q15" s="282">
        <v>2.1097999999999999E-2</v>
      </c>
      <c r="R15" s="49"/>
    </row>
    <row r="16" spans="2:19" ht="15.75" x14ac:dyDescent="0.25">
      <c r="B16" s="93"/>
      <c r="C16" s="38" t="s">
        <v>28</v>
      </c>
      <c r="D16" s="4" t="s">
        <v>104</v>
      </c>
      <c r="E16" s="189">
        <v>1.6025999999999999E-2</v>
      </c>
      <c r="F16" s="5"/>
      <c r="G16" s="5"/>
      <c r="H16" s="5"/>
      <c r="I16" s="5"/>
      <c r="J16" s="5"/>
      <c r="K16" s="5"/>
      <c r="L16" s="5"/>
      <c r="M16" s="5"/>
      <c r="N16" s="20"/>
      <c r="P16" s="283" t="s">
        <v>108</v>
      </c>
      <c r="Q16" s="282">
        <v>1.9133999999999998E-2</v>
      </c>
      <c r="R16" s="49"/>
    </row>
    <row r="17" spans="2:18" ht="15.75" x14ac:dyDescent="0.25">
      <c r="B17" s="93"/>
      <c r="C17" s="38" t="s">
        <v>360</v>
      </c>
      <c r="D17" s="4" t="s">
        <v>116</v>
      </c>
      <c r="E17" s="189">
        <v>1.5859000000000002E-2</v>
      </c>
      <c r="F17" s="5"/>
      <c r="G17" s="5"/>
      <c r="H17" s="5"/>
      <c r="I17" s="5"/>
      <c r="J17" s="5"/>
      <c r="K17" s="5"/>
      <c r="L17" s="5"/>
      <c r="M17" s="5"/>
      <c r="N17" s="20"/>
      <c r="P17" s="283" t="s">
        <v>83</v>
      </c>
      <c r="Q17" s="282">
        <v>1.7748E-2</v>
      </c>
      <c r="R17" s="49"/>
    </row>
    <row r="18" spans="2:18" ht="15.75" x14ac:dyDescent="0.25">
      <c r="B18" s="93"/>
      <c r="C18" s="38" t="s">
        <v>367</v>
      </c>
      <c r="D18" s="4" t="s">
        <v>26</v>
      </c>
      <c r="E18" s="189">
        <v>1.5819E-2</v>
      </c>
      <c r="F18" s="5"/>
      <c r="G18" s="5"/>
      <c r="H18" s="5"/>
      <c r="I18" s="5"/>
      <c r="J18" s="5"/>
      <c r="K18" s="5"/>
      <c r="L18" s="5"/>
      <c r="M18" s="5"/>
      <c r="N18" s="20"/>
      <c r="P18" s="283" t="s">
        <v>114</v>
      </c>
      <c r="Q18" s="282">
        <v>1.7409000000000001E-2</v>
      </c>
      <c r="R18" s="49"/>
    </row>
    <row r="19" spans="2:18" ht="15.75" x14ac:dyDescent="0.25">
      <c r="B19" s="93"/>
      <c r="C19" s="38" t="s">
        <v>142</v>
      </c>
      <c r="D19" s="4" t="s">
        <v>121</v>
      </c>
      <c r="E19" s="189">
        <v>1.5799000000000001E-2</v>
      </c>
      <c r="F19" s="5"/>
      <c r="G19" s="5"/>
      <c r="H19" s="5"/>
      <c r="I19" s="5"/>
      <c r="J19" s="5"/>
      <c r="K19" s="5"/>
      <c r="L19" s="5"/>
      <c r="M19" s="5"/>
      <c r="N19" s="20"/>
      <c r="P19" s="283" t="s">
        <v>121</v>
      </c>
      <c r="Q19" s="282">
        <v>1.5799000000000001E-2</v>
      </c>
      <c r="R19" s="49"/>
    </row>
    <row r="20" spans="2:18" ht="15.75" customHeight="1" x14ac:dyDescent="0.25">
      <c r="B20" s="93"/>
      <c r="C20" s="38" t="s">
        <v>72</v>
      </c>
      <c r="D20" s="4" t="s">
        <v>11</v>
      </c>
      <c r="E20" s="189">
        <v>1.576E-2</v>
      </c>
      <c r="F20" s="5"/>
      <c r="G20" s="5"/>
      <c r="H20" s="5"/>
      <c r="I20" s="5"/>
      <c r="J20" s="5"/>
      <c r="K20" s="5"/>
      <c r="L20" s="5"/>
      <c r="M20" s="5"/>
      <c r="N20" s="20"/>
      <c r="P20" s="283" t="s">
        <v>107</v>
      </c>
      <c r="Q20" s="282">
        <v>1.3867000000000001E-2</v>
      </c>
      <c r="R20" s="49"/>
    </row>
    <row r="21" spans="2:18" ht="15.75" x14ac:dyDescent="0.25">
      <c r="B21" s="93"/>
      <c r="C21" s="38" t="s">
        <v>34</v>
      </c>
      <c r="D21" s="4" t="s">
        <v>23</v>
      </c>
      <c r="E21" s="189">
        <v>1.362E-2</v>
      </c>
      <c r="F21" s="5"/>
      <c r="G21" s="5"/>
      <c r="H21" s="5"/>
      <c r="I21" s="5"/>
      <c r="J21" s="5"/>
      <c r="K21" s="5"/>
      <c r="L21" s="5"/>
      <c r="M21" s="5"/>
      <c r="N21" s="20"/>
      <c r="P21" s="283" t="s">
        <v>23</v>
      </c>
      <c r="Q21" s="282">
        <v>1.362E-2</v>
      </c>
      <c r="R21" s="49"/>
    </row>
    <row r="22" spans="2:18" ht="15.75" x14ac:dyDescent="0.25">
      <c r="B22" s="93"/>
      <c r="C22" s="38" t="s">
        <v>133</v>
      </c>
      <c r="D22" s="4" t="s">
        <v>107</v>
      </c>
      <c r="E22" s="189">
        <v>1.2645E-2</v>
      </c>
      <c r="F22" s="5"/>
      <c r="G22" s="31"/>
      <c r="H22" s="31"/>
      <c r="I22" s="31"/>
      <c r="J22" s="5"/>
      <c r="K22" s="31"/>
      <c r="L22" s="5"/>
      <c r="M22" s="5"/>
      <c r="N22" s="20"/>
      <c r="P22" s="283" t="s">
        <v>113</v>
      </c>
      <c r="Q22" s="282">
        <v>1.3579000000000001E-2</v>
      </c>
      <c r="R22" s="49"/>
    </row>
    <row r="23" spans="2:18" ht="15.75" customHeight="1" x14ac:dyDescent="0.25">
      <c r="B23" s="93"/>
      <c r="C23" s="38"/>
      <c r="D23" s="4"/>
      <c r="E23" s="6"/>
      <c r="F23" s="5"/>
      <c r="G23" s="31"/>
      <c r="H23" s="31"/>
      <c r="I23" s="31"/>
      <c r="J23" s="5"/>
      <c r="K23" s="31"/>
      <c r="L23" s="5"/>
      <c r="M23" s="5"/>
      <c r="N23" s="20"/>
      <c r="P23" s="283" t="s">
        <v>103</v>
      </c>
      <c r="Q23" s="282">
        <v>1.3256999999999998E-2</v>
      </c>
      <c r="R23" s="49"/>
    </row>
    <row r="24" spans="2:18" ht="15.75" x14ac:dyDescent="0.25">
      <c r="B24" s="93"/>
      <c r="C24" s="106" t="s">
        <v>56</v>
      </c>
      <c r="D24" s="106"/>
      <c r="E24" s="107">
        <v>0.3292270000000001</v>
      </c>
      <c r="F24" s="5"/>
      <c r="G24" s="5"/>
      <c r="H24" s="5"/>
      <c r="I24" s="5"/>
      <c r="J24" s="5"/>
      <c r="K24" s="5"/>
      <c r="L24" s="5"/>
      <c r="M24" s="5"/>
      <c r="N24" s="20"/>
      <c r="P24" s="283" t="s">
        <v>10</v>
      </c>
      <c r="Q24" s="282">
        <v>1.2515E-2</v>
      </c>
      <c r="R24" s="49"/>
    </row>
    <row r="25" spans="2:18" ht="15.75" x14ac:dyDescent="0.25">
      <c r="B25" s="93"/>
      <c r="C25" s="4"/>
      <c r="D25" s="4"/>
      <c r="E25" s="6"/>
      <c r="F25" s="5"/>
      <c r="G25" s="5"/>
      <c r="H25" s="5"/>
      <c r="I25" s="5"/>
      <c r="J25" s="5"/>
      <c r="K25" s="5"/>
      <c r="L25" s="5"/>
      <c r="M25" s="5"/>
      <c r="N25" s="20"/>
      <c r="P25" s="283" t="s">
        <v>15</v>
      </c>
      <c r="Q25" s="282">
        <v>9.894E-3</v>
      </c>
      <c r="R25" s="49"/>
    </row>
    <row r="26" spans="2:18" ht="15.75" x14ac:dyDescent="0.25">
      <c r="B26" s="93"/>
      <c r="C26" s="106" t="s">
        <v>66</v>
      </c>
      <c r="D26" s="106"/>
      <c r="E26" s="178">
        <v>0.22850600000000004</v>
      </c>
      <c r="F26" s="31"/>
      <c r="G26" s="5"/>
      <c r="H26" s="5"/>
      <c r="I26" s="5"/>
      <c r="J26" s="5"/>
      <c r="K26" s="5"/>
      <c r="L26" s="5"/>
      <c r="M26" s="5"/>
      <c r="N26" s="20"/>
      <c r="P26" s="283" t="s">
        <v>128</v>
      </c>
      <c r="Q26" s="282">
        <v>9.4940000000000007E-3</v>
      </c>
      <c r="R26" s="49"/>
    </row>
    <row r="27" spans="2:18" ht="15.75" x14ac:dyDescent="0.25">
      <c r="B27" s="93"/>
      <c r="C27" s="38"/>
      <c r="D27" s="58"/>
      <c r="E27" s="6"/>
      <c r="F27" s="5"/>
      <c r="G27" s="5"/>
      <c r="H27" s="5"/>
      <c r="I27" s="5"/>
      <c r="J27" s="5"/>
      <c r="K27" s="5"/>
      <c r="L27" s="5"/>
      <c r="M27" s="5"/>
      <c r="N27" s="20"/>
      <c r="P27" s="283" t="s">
        <v>110</v>
      </c>
      <c r="Q27" s="282">
        <v>9.0869999999999996E-3</v>
      </c>
      <c r="R27" s="49"/>
    </row>
    <row r="28" spans="2:18" s="48" customFormat="1" ht="13.5" customHeight="1" x14ac:dyDescent="0.25">
      <c r="B28" s="108"/>
      <c r="C28" s="106" t="s">
        <v>58</v>
      </c>
      <c r="D28" s="106"/>
      <c r="E28" s="178">
        <v>0.15676899999999999</v>
      </c>
      <c r="F28" s="41"/>
      <c r="G28" s="41"/>
      <c r="H28" s="41"/>
      <c r="I28" s="41"/>
      <c r="J28" s="41"/>
      <c r="K28" s="41"/>
      <c r="L28" s="41"/>
      <c r="M28" s="41"/>
      <c r="N28" s="109"/>
      <c r="P28" s="283" t="s">
        <v>16</v>
      </c>
      <c r="Q28" s="282">
        <v>8.0289999999999979E-3</v>
      </c>
      <c r="R28" s="110"/>
    </row>
    <row r="29" spans="2:18" ht="15.75" x14ac:dyDescent="0.25">
      <c r="B29" s="93"/>
      <c r="C29" s="38"/>
      <c r="D29" s="38"/>
      <c r="E29" s="38"/>
      <c r="F29" s="5"/>
      <c r="G29" s="5"/>
      <c r="H29" s="5"/>
      <c r="I29" s="5"/>
      <c r="J29" s="5"/>
      <c r="K29" s="5"/>
      <c r="L29" s="5"/>
      <c r="M29" s="5"/>
      <c r="N29" s="20"/>
      <c r="P29" s="283" t="s">
        <v>115</v>
      </c>
      <c r="Q29" s="282">
        <v>6.502E-3</v>
      </c>
      <c r="R29" s="49"/>
    </row>
    <row r="30" spans="2:18" ht="15.75" x14ac:dyDescent="0.25">
      <c r="B30" s="93"/>
      <c r="C30" s="38" t="s">
        <v>212</v>
      </c>
      <c r="D30" s="4" t="s">
        <v>61</v>
      </c>
      <c r="E30" s="189">
        <v>0.23502600000000001</v>
      </c>
      <c r="F30" s="5"/>
      <c r="G30" s="5"/>
      <c r="H30" s="5"/>
      <c r="I30" s="5"/>
      <c r="J30" s="5"/>
      <c r="K30" s="5"/>
      <c r="L30" s="5"/>
      <c r="M30" s="5"/>
      <c r="N30" s="20"/>
      <c r="P30" s="283" t="s">
        <v>127</v>
      </c>
      <c r="Q30" s="282">
        <v>5.5579999999999996E-3</v>
      </c>
      <c r="R30" s="49"/>
    </row>
    <row r="31" spans="2:18" ht="15.75" x14ac:dyDescent="0.25">
      <c r="B31" s="93"/>
      <c r="C31" s="106" t="s">
        <v>42</v>
      </c>
      <c r="D31" s="106"/>
      <c r="E31" s="107">
        <v>0.23502600000000001</v>
      </c>
      <c r="F31" s="5"/>
      <c r="G31" s="5"/>
      <c r="H31" s="5"/>
      <c r="I31" s="5"/>
      <c r="J31" s="5"/>
      <c r="K31" s="5"/>
      <c r="L31" s="5"/>
      <c r="M31" s="5"/>
      <c r="N31" s="20"/>
      <c r="P31" s="283" t="s">
        <v>82</v>
      </c>
      <c r="Q31" s="282">
        <v>4.2379999999999996E-3</v>
      </c>
      <c r="R31" s="49"/>
    </row>
    <row r="32" spans="2:18" ht="15.75" x14ac:dyDescent="0.25">
      <c r="B32" s="93"/>
      <c r="C32" s="111"/>
      <c r="D32" s="111"/>
      <c r="E32" s="112"/>
      <c r="F32" s="5"/>
      <c r="G32" s="5"/>
      <c r="H32" s="5"/>
      <c r="I32" s="5"/>
      <c r="J32" s="5"/>
      <c r="K32" s="5"/>
      <c r="L32" s="5"/>
      <c r="M32" s="5"/>
      <c r="N32" s="20"/>
      <c r="P32" s="283" t="s">
        <v>81</v>
      </c>
      <c r="Q32" s="282">
        <v>3.2729999999999999E-3</v>
      </c>
      <c r="R32" s="49"/>
    </row>
    <row r="33" spans="1:18" ht="15.75" x14ac:dyDescent="0.25">
      <c r="B33" s="93"/>
      <c r="C33" s="106" t="s">
        <v>20</v>
      </c>
      <c r="D33" s="106"/>
      <c r="E33" s="107">
        <v>5.0472000000000003E-2</v>
      </c>
      <c r="F33" s="5"/>
      <c r="G33" s="5"/>
      <c r="H33" s="5"/>
      <c r="I33" s="5"/>
      <c r="J33" s="5"/>
      <c r="K33" s="5"/>
      <c r="L33" s="5"/>
      <c r="M33" s="5"/>
      <c r="N33" s="20"/>
      <c r="P33" s="283" t="s">
        <v>92</v>
      </c>
      <c r="Q33" s="282">
        <v>1.874E-3</v>
      </c>
      <c r="R33" s="49"/>
    </row>
    <row r="34" spans="1:18" ht="15.75" x14ac:dyDescent="0.25">
      <c r="B34" s="93"/>
      <c r="C34" s="4"/>
      <c r="D34" s="4"/>
      <c r="E34" s="32"/>
      <c r="F34" s="5"/>
      <c r="G34" s="5"/>
      <c r="H34" s="5"/>
      <c r="I34" s="5"/>
      <c r="J34" s="5"/>
      <c r="K34" s="5"/>
      <c r="L34" s="5"/>
      <c r="M34" s="5"/>
      <c r="N34" s="20"/>
      <c r="P34" s="283" t="s">
        <v>25</v>
      </c>
      <c r="Q34" s="282">
        <v>9.1E-4</v>
      </c>
      <c r="R34" s="49"/>
    </row>
    <row r="35" spans="1:18" ht="15.75" x14ac:dyDescent="0.25">
      <c r="B35" s="93"/>
      <c r="C35" s="113" t="s">
        <v>21</v>
      </c>
      <c r="D35" s="113"/>
      <c r="E35" s="114">
        <f>E33+E31+E28+E26+E24</f>
        <v>1.0000000000000002</v>
      </c>
      <c r="F35" s="5"/>
      <c r="G35" s="5"/>
      <c r="H35" s="5"/>
      <c r="I35" s="5"/>
      <c r="J35" s="5"/>
      <c r="K35" s="5"/>
      <c r="L35" s="5"/>
      <c r="M35" s="5"/>
      <c r="N35" s="20"/>
      <c r="P35" s="283" t="s">
        <v>74</v>
      </c>
      <c r="Q35" s="282">
        <v>5.5000000000000003E-4</v>
      </c>
      <c r="R35" s="49"/>
    </row>
    <row r="36" spans="1:18" ht="15.75" x14ac:dyDescent="0.25">
      <c r="B36" s="93"/>
      <c r="F36" s="5"/>
      <c r="G36" s="5"/>
      <c r="H36" s="5"/>
      <c r="I36" s="5"/>
      <c r="J36" s="5"/>
      <c r="K36" s="5"/>
      <c r="L36" s="5"/>
      <c r="M36" s="5"/>
      <c r="N36" s="20"/>
      <c r="P36" s="281"/>
      <c r="Q36" s="284"/>
      <c r="R36" s="49"/>
    </row>
    <row r="37" spans="1:18" ht="15.75" thickBot="1" x14ac:dyDescent="0.25">
      <c r="A37" s="5"/>
      <c r="B37" s="96"/>
      <c r="C37" s="45"/>
      <c r="D37" s="45"/>
      <c r="E37" s="45"/>
      <c r="F37" s="45"/>
      <c r="G37" s="45"/>
      <c r="H37" s="45"/>
      <c r="I37" s="45"/>
      <c r="J37" s="45"/>
      <c r="K37" s="45"/>
      <c r="L37" s="45"/>
      <c r="M37" s="45"/>
      <c r="N37" s="116"/>
      <c r="O37" s="5"/>
      <c r="R37" s="49"/>
    </row>
    <row r="38" spans="1:18" ht="15.75" thickBot="1" x14ac:dyDescent="0.25">
      <c r="R38" s="49"/>
    </row>
    <row r="39" spans="1:18" ht="15" customHeight="1" x14ac:dyDescent="0.2">
      <c r="B39" s="306" t="s">
        <v>177</v>
      </c>
      <c r="C39" s="307"/>
      <c r="D39" s="307"/>
      <c r="E39" s="307"/>
      <c r="F39" s="307"/>
      <c r="G39" s="307"/>
      <c r="H39" s="307"/>
      <c r="I39" s="307"/>
      <c r="J39" s="307"/>
      <c r="K39" s="307"/>
      <c r="L39" s="307"/>
      <c r="M39" s="307"/>
      <c r="N39" s="307"/>
      <c r="O39" s="307"/>
      <c r="P39" s="307"/>
      <c r="Q39" s="307"/>
      <c r="R39" s="308"/>
    </row>
    <row r="40" spans="1:18" x14ac:dyDescent="0.2">
      <c r="B40" s="309"/>
      <c r="C40" s="310"/>
      <c r="D40" s="310"/>
      <c r="E40" s="310"/>
      <c r="F40" s="310"/>
      <c r="G40" s="310"/>
      <c r="H40" s="310"/>
      <c r="I40" s="310"/>
      <c r="J40" s="310"/>
      <c r="K40" s="310"/>
      <c r="L40" s="310"/>
      <c r="M40" s="310"/>
      <c r="N40" s="310"/>
      <c r="O40" s="310"/>
      <c r="P40" s="310"/>
      <c r="Q40" s="310"/>
      <c r="R40" s="311"/>
    </row>
    <row r="41" spans="1:18" x14ac:dyDescent="0.2">
      <c r="B41" s="309"/>
      <c r="C41" s="310"/>
      <c r="D41" s="310"/>
      <c r="E41" s="310"/>
      <c r="F41" s="310"/>
      <c r="G41" s="310"/>
      <c r="H41" s="310"/>
      <c r="I41" s="310"/>
      <c r="J41" s="310"/>
      <c r="K41" s="310"/>
      <c r="L41" s="310"/>
      <c r="M41" s="310"/>
      <c r="N41" s="310"/>
      <c r="O41" s="310"/>
      <c r="P41" s="310"/>
      <c r="Q41" s="310"/>
      <c r="R41" s="311"/>
    </row>
    <row r="42" spans="1:18" x14ac:dyDescent="0.2">
      <c r="B42" s="309"/>
      <c r="C42" s="310"/>
      <c r="D42" s="310"/>
      <c r="E42" s="310"/>
      <c r="F42" s="310"/>
      <c r="G42" s="310"/>
      <c r="H42" s="310"/>
      <c r="I42" s="310"/>
      <c r="J42" s="310"/>
      <c r="K42" s="310"/>
      <c r="L42" s="310"/>
      <c r="M42" s="310"/>
      <c r="N42" s="310"/>
      <c r="O42" s="310"/>
      <c r="P42" s="310"/>
      <c r="Q42" s="310"/>
      <c r="R42" s="311"/>
    </row>
    <row r="43" spans="1:18" x14ac:dyDescent="0.2">
      <c r="B43" s="309"/>
      <c r="C43" s="310"/>
      <c r="D43" s="310"/>
      <c r="E43" s="310"/>
      <c r="F43" s="310"/>
      <c r="G43" s="310"/>
      <c r="H43" s="310"/>
      <c r="I43" s="310"/>
      <c r="J43" s="310"/>
      <c r="K43" s="310"/>
      <c r="L43" s="310"/>
      <c r="M43" s="310"/>
      <c r="N43" s="310"/>
      <c r="O43" s="310"/>
      <c r="P43" s="310"/>
      <c r="Q43" s="310"/>
      <c r="R43" s="311"/>
    </row>
    <row r="44" spans="1:18" x14ac:dyDescent="0.2">
      <c r="B44" s="309"/>
      <c r="C44" s="310"/>
      <c r="D44" s="310"/>
      <c r="E44" s="310"/>
      <c r="F44" s="310"/>
      <c r="G44" s="310"/>
      <c r="H44" s="310"/>
      <c r="I44" s="310"/>
      <c r="J44" s="310"/>
      <c r="K44" s="310"/>
      <c r="L44" s="310"/>
      <c r="M44" s="310"/>
      <c r="N44" s="310"/>
      <c r="O44" s="310"/>
      <c r="P44" s="310"/>
      <c r="Q44" s="310"/>
      <c r="R44" s="311"/>
    </row>
    <row r="45" spans="1:18" ht="15.75" thickBot="1" x14ac:dyDescent="0.25">
      <c r="B45" s="312"/>
      <c r="C45" s="313"/>
      <c r="D45" s="313"/>
      <c r="E45" s="313"/>
      <c r="F45" s="313"/>
      <c r="G45" s="313"/>
      <c r="H45" s="313"/>
      <c r="I45" s="313"/>
      <c r="J45" s="313"/>
      <c r="K45" s="313"/>
      <c r="L45" s="313"/>
      <c r="M45" s="313"/>
      <c r="N45" s="313"/>
      <c r="O45" s="313"/>
      <c r="P45" s="313"/>
      <c r="Q45" s="313"/>
      <c r="R45" s="314"/>
    </row>
    <row r="46" spans="1:18" x14ac:dyDescent="0.2">
      <c r="R46" s="49"/>
    </row>
    <row r="47" spans="1:18" x14ac:dyDescent="0.2">
      <c r="R47" s="49"/>
    </row>
    <row r="48" spans="1:18" x14ac:dyDescent="0.2">
      <c r="R48" s="49"/>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sheetData>
  <sortState ref="P7:Q35">
    <sortCondition descending="1" ref="Q7"/>
  </sortState>
  <mergeCells count="3">
    <mergeCell ref="B39:R45"/>
    <mergeCell ref="C3:N3"/>
    <mergeCell ref="D5:E5"/>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codeName="Sheet27">
    <pageSetUpPr fitToPage="1"/>
  </sheetPr>
  <dimension ref="A1:S654"/>
  <sheetViews>
    <sheetView showGridLines="0" zoomScale="75" zoomScaleNormal="75" zoomScaleSheetLayoutView="76" workbookViewId="0"/>
  </sheetViews>
  <sheetFormatPr defaultColWidth="9.140625"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10"/>
    </row>
    <row r="3" spans="2:19" ht="20.25" customHeight="1" x14ac:dyDescent="0.2">
      <c r="B3" s="93"/>
      <c r="C3" s="300" t="s">
        <v>221</v>
      </c>
      <c r="D3" s="300" t="s">
        <v>221</v>
      </c>
      <c r="E3" s="300" t="s">
        <v>221</v>
      </c>
      <c r="F3" s="300" t="s">
        <v>221</v>
      </c>
      <c r="G3" s="300" t="s">
        <v>221</v>
      </c>
      <c r="H3" s="300" t="s">
        <v>221</v>
      </c>
      <c r="I3" s="300" t="s">
        <v>221</v>
      </c>
      <c r="J3" s="300" t="s">
        <v>221</v>
      </c>
      <c r="K3" s="300" t="s">
        <v>221</v>
      </c>
      <c r="L3" s="300" t="s">
        <v>221</v>
      </c>
      <c r="M3" s="300" t="s">
        <v>221</v>
      </c>
      <c r="N3" s="301" t="s">
        <v>221</v>
      </c>
    </row>
    <row r="4" spans="2:19" ht="15.75" x14ac:dyDescent="0.25">
      <c r="B4" s="93"/>
      <c r="C4" s="67" t="s">
        <v>430</v>
      </c>
      <c r="D4" s="29"/>
      <c r="E4" s="29"/>
      <c r="F4" s="5"/>
      <c r="G4" s="5"/>
      <c r="H4" s="5"/>
      <c r="I4" s="5"/>
      <c r="J4" s="5"/>
      <c r="K4" s="5"/>
      <c r="L4" s="5"/>
      <c r="M4" s="5"/>
      <c r="N4" s="20"/>
    </row>
    <row r="5" spans="2:19" ht="20.25" customHeight="1" x14ac:dyDescent="0.2">
      <c r="B5" s="93"/>
      <c r="C5" s="211" t="s">
        <v>431</v>
      </c>
      <c r="D5" s="317" t="s">
        <v>405</v>
      </c>
      <c r="E5" s="317"/>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95" t="s">
        <v>45</v>
      </c>
      <c r="F7" s="5"/>
      <c r="G7" s="5"/>
      <c r="H7" s="5"/>
      <c r="I7" s="5"/>
      <c r="J7" s="5"/>
      <c r="K7" s="5"/>
      <c r="L7" s="5"/>
      <c r="M7" s="5"/>
      <c r="N7" s="20"/>
      <c r="P7" s="286" t="s">
        <v>3</v>
      </c>
      <c r="Q7" s="285">
        <v>9.6714000000000036E-2</v>
      </c>
    </row>
    <row r="8" spans="2:19" ht="15.75" x14ac:dyDescent="0.25">
      <c r="B8" s="93"/>
      <c r="C8" s="38" t="s">
        <v>29</v>
      </c>
      <c r="D8" s="38" t="s">
        <v>3</v>
      </c>
      <c r="E8" s="6">
        <v>2.8616000000000003E-2</v>
      </c>
      <c r="F8" s="5"/>
      <c r="G8" s="5"/>
      <c r="H8" s="5"/>
      <c r="I8" s="5"/>
      <c r="J8" s="5"/>
      <c r="K8" s="5"/>
      <c r="L8" s="5"/>
      <c r="M8" s="5"/>
      <c r="N8" s="20"/>
      <c r="P8" s="286" t="s">
        <v>26</v>
      </c>
      <c r="Q8" s="285">
        <v>3.5243000000000003E-2</v>
      </c>
      <c r="R8" s="49"/>
    </row>
    <row r="9" spans="2:19" ht="15.75" customHeight="1" x14ac:dyDescent="0.25">
      <c r="B9" s="93"/>
      <c r="C9" s="38" t="s">
        <v>32</v>
      </c>
      <c r="D9" s="38" t="s">
        <v>3</v>
      </c>
      <c r="E9" s="6">
        <v>2.3293000000000001E-2</v>
      </c>
      <c r="F9" s="5"/>
      <c r="G9" s="5"/>
      <c r="H9" s="5"/>
      <c r="I9" s="5"/>
      <c r="J9" s="5"/>
      <c r="K9" s="5"/>
      <c r="L9" s="5"/>
      <c r="M9" s="5"/>
      <c r="N9" s="20"/>
      <c r="P9" s="286" t="s">
        <v>104</v>
      </c>
      <c r="Q9" s="285">
        <v>2.8683999999999998E-2</v>
      </c>
      <c r="R9" s="49"/>
    </row>
    <row r="10" spans="2:19" ht="15.75" x14ac:dyDescent="0.25">
      <c r="B10" s="93"/>
      <c r="C10" s="38" t="s">
        <v>31</v>
      </c>
      <c r="D10" s="38" t="s">
        <v>6</v>
      </c>
      <c r="E10" s="6">
        <v>2.2000000000000002E-2</v>
      </c>
      <c r="F10" s="31"/>
      <c r="G10" s="5"/>
      <c r="H10" s="5"/>
      <c r="I10" s="5"/>
      <c r="J10" s="5"/>
      <c r="K10" s="5"/>
      <c r="L10" s="5"/>
      <c r="M10" s="5"/>
      <c r="N10" s="20"/>
      <c r="P10" s="286" t="s">
        <v>4</v>
      </c>
      <c r="Q10" s="285">
        <v>2.8196000000000009E-2</v>
      </c>
      <c r="R10" s="49"/>
    </row>
    <row r="11" spans="2:19" ht="15.75" x14ac:dyDescent="0.25">
      <c r="B11" s="93"/>
      <c r="C11" s="38" t="s">
        <v>36</v>
      </c>
      <c r="D11" s="38" t="s">
        <v>3</v>
      </c>
      <c r="E11" s="6">
        <v>1.7258999999999997E-2</v>
      </c>
      <c r="F11" s="5"/>
      <c r="G11" s="5"/>
      <c r="H11" s="5"/>
      <c r="I11" s="5"/>
      <c r="J11" s="5"/>
      <c r="K11" s="5"/>
      <c r="L11" s="5"/>
      <c r="M11" s="5"/>
      <c r="N11" s="20"/>
      <c r="P11" s="286" t="s">
        <v>108</v>
      </c>
      <c r="Q11" s="285">
        <v>2.7166000000000006E-2</v>
      </c>
      <c r="R11" s="49"/>
    </row>
    <row r="12" spans="2:19" ht="15.75" customHeight="1" x14ac:dyDescent="0.25">
      <c r="B12" s="93"/>
      <c r="C12" s="38" t="s">
        <v>28</v>
      </c>
      <c r="D12" s="38" t="s">
        <v>104</v>
      </c>
      <c r="E12" s="6">
        <v>1.2622E-2</v>
      </c>
      <c r="F12" s="31"/>
      <c r="G12" s="5"/>
      <c r="H12" s="5"/>
      <c r="I12" s="5"/>
      <c r="J12" s="5"/>
      <c r="K12" s="5"/>
      <c r="L12" s="5"/>
      <c r="M12" s="5"/>
      <c r="N12" s="20"/>
      <c r="P12" s="286" t="s">
        <v>109</v>
      </c>
      <c r="Q12" s="285">
        <v>2.5110999999999998E-2</v>
      </c>
      <c r="R12" s="49"/>
    </row>
    <row r="13" spans="2:19" ht="15.75" x14ac:dyDescent="0.25">
      <c r="B13" s="93"/>
      <c r="C13" s="38" t="s">
        <v>72</v>
      </c>
      <c r="D13" s="38" t="s">
        <v>11</v>
      </c>
      <c r="E13" s="6">
        <v>1.0826000000000001E-2</v>
      </c>
      <c r="F13" s="31"/>
      <c r="G13" s="5"/>
      <c r="H13" s="5"/>
      <c r="I13" s="5"/>
      <c r="J13" s="5"/>
      <c r="K13" s="5"/>
      <c r="L13" s="5"/>
      <c r="M13" s="5"/>
      <c r="N13" s="20"/>
      <c r="P13" s="286" t="s">
        <v>16</v>
      </c>
      <c r="Q13" s="285">
        <v>2.4916000000000001E-2</v>
      </c>
      <c r="R13" s="49"/>
    </row>
    <row r="14" spans="2:19" ht="15.75" x14ac:dyDescent="0.25">
      <c r="B14" s="93"/>
      <c r="C14" s="38" t="s">
        <v>33</v>
      </c>
      <c r="D14" s="38" t="s">
        <v>104</v>
      </c>
      <c r="E14" s="6">
        <v>1.0804999999999999E-2</v>
      </c>
      <c r="F14" s="31"/>
      <c r="G14" s="5"/>
      <c r="H14" s="5"/>
      <c r="I14" s="5"/>
      <c r="J14" s="5"/>
      <c r="K14" s="5"/>
      <c r="L14" s="5"/>
      <c r="M14" s="5"/>
      <c r="N14" s="20"/>
      <c r="P14" s="286" t="s">
        <v>83</v>
      </c>
      <c r="Q14" s="285">
        <v>2.3014000000000003E-2</v>
      </c>
      <c r="R14" s="49"/>
    </row>
    <row r="15" spans="2:19" ht="15.75" x14ac:dyDescent="0.25">
      <c r="B15" s="93"/>
      <c r="C15" s="38" t="s">
        <v>93</v>
      </c>
      <c r="D15" s="38" t="s">
        <v>109</v>
      </c>
      <c r="E15" s="6">
        <v>9.8560000000000002E-3</v>
      </c>
      <c r="F15" s="5"/>
      <c r="G15" s="5"/>
      <c r="H15" s="5"/>
      <c r="I15" s="5"/>
      <c r="J15" s="5"/>
      <c r="K15" s="5"/>
      <c r="L15" s="5"/>
      <c r="M15" s="5"/>
      <c r="N15" s="20"/>
      <c r="P15" s="286" t="s">
        <v>6</v>
      </c>
      <c r="Q15" s="285">
        <v>2.2000000000000002E-2</v>
      </c>
      <c r="R15" s="49"/>
    </row>
    <row r="16" spans="2:19" ht="15.75" x14ac:dyDescent="0.25">
      <c r="B16" s="93"/>
      <c r="C16" s="38" t="s">
        <v>348</v>
      </c>
      <c r="D16" s="38" t="s">
        <v>16</v>
      </c>
      <c r="E16" s="6">
        <v>9.0340000000000004E-3</v>
      </c>
      <c r="F16" s="5"/>
      <c r="G16" s="5"/>
      <c r="H16" s="5"/>
      <c r="I16" s="5"/>
      <c r="J16" s="5"/>
      <c r="K16" s="5"/>
      <c r="L16" s="5"/>
      <c r="M16" s="5"/>
      <c r="N16" s="20"/>
      <c r="P16" s="286" t="s">
        <v>107</v>
      </c>
      <c r="Q16" s="285">
        <v>1.5308E-2</v>
      </c>
      <c r="R16" s="49"/>
    </row>
    <row r="17" spans="2:18" ht="15.75" x14ac:dyDescent="0.25">
      <c r="B17" s="93"/>
      <c r="C17" s="38" t="s">
        <v>367</v>
      </c>
      <c r="D17" s="38" t="s">
        <v>26</v>
      </c>
      <c r="E17" s="6">
        <v>8.6510000000000007E-3</v>
      </c>
      <c r="F17" s="5"/>
      <c r="G17" s="5"/>
      <c r="H17" s="5"/>
      <c r="I17" s="5"/>
      <c r="J17" s="5"/>
      <c r="K17" s="5"/>
      <c r="L17" s="5"/>
      <c r="M17" s="5"/>
      <c r="N17" s="20"/>
      <c r="P17" s="286" t="s">
        <v>23</v>
      </c>
      <c r="Q17" s="285">
        <v>1.1394000000000001E-2</v>
      </c>
      <c r="R17" s="49"/>
    </row>
    <row r="18" spans="2:18" ht="15.75" x14ac:dyDescent="0.25">
      <c r="B18" s="93"/>
      <c r="C18" s="38" t="s">
        <v>228</v>
      </c>
      <c r="D18" s="38" t="s">
        <v>26</v>
      </c>
      <c r="E18" s="6">
        <v>7.4130000000000003E-3</v>
      </c>
      <c r="F18" s="5"/>
      <c r="G18" s="5"/>
      <c r="H18" s="5"/>
      <c r="I18" s="5"/>
      <c r="J18" s="5"/>
      <c r="K18" s="5"/>
      <c r="L18" s="5"/>
      <c r="M18" s="5"/>
      <c r="N18" s="20"/>
      <c r="P18" s="286" t="s">
        <v>110</v>
      </c>
      <c r="Q18" s="285">
        <v>1.1344999999999999E-2</v>
      </c>
      <c r="R18" s="49"/>
    </row>
    <row r="19" spans="2:18" ht="15.75" x14ac:dyDescent="0.25">
      <c r="B19" s="93"/>
      <c r="C19" s="38" t="s">
        <v>117</v>
      </c>
      <c r="D19" s="38" t="s">
        <v>109</v>
      </c>
      <c r="E19" s="6">
        <v>7.4040000000000009E-3</v>
      </c>
      <c r="F19" s="5"/>
      <c r="G19" s="5"/>
      <c r="H19" s="5"/>
      <c r="I19" s="5"/>
      <c r="J19" s="5"/>
      <c r="K19" s="5"/>
      <c r="L19" s="5"/>
      <c r="M19" s="5"/>
      <c r="N19" s="20"/>
      <c r="P19" s="286" t="s">
        <v>11</v>
      </c>
      <c r="Q19" s="285">
        <v>1.0779000000000004E-2</v>
      </c>
      <c r="R19" s="49"/>
    </row>
    <row r="20" spans="2:18" ht="15.75" customHeight="1" x14ac:dyDescent="0.25">
      <c r="B20" s="93"/>
      <c r="C20" s="38" t="s">
        <v>332</v>
      </c>
      <c r="D20" s="38" t="s">
        <v>83</v>
      </c>
      <c r="E20" s="6">
        <v>7.0140000000000003E-3</v>
      </c>
      <c r="F20" s="5"/>
      <c r="G20" s="5"/>
      <c r="H20" s="5"/>
      <c r="I20" s="5"/>
      <c r="J20" s="5"/>
      <c r="K20" s="5"/>
      <c r="L20" s="5"/>
      <c r="M20" s="5"/>
      <c r="N20" s="20"/>
      <c r="P20" s="286" t="s">
        <v>123</v>
      </c>
      <c r="Q20" s="285">
        <v>9.273E-3</v>
      </c>
      <c r="R20" s="49"/>
    </row>
    <row r="21" spans="2:18" ht="15.75" x14ac:dyDescent="0.25">
      <c r="B21" s="93"/>
      <c r="C21" s="38" t="s">
        <v>202</v>
      </c>
      <c r="D21" s="38" t="s">
        <v>108</v>
      </c>
      <c r="E21" s="6">
        <v>6.783E-3</v>
      </c>
      <c r="F21" s="5"/>
      <c r="G21" s="5"/>
      <c r="H21" s="5"/>
      <c r="I21" s="5"/>
      <c r="J21" s="5"/>
      <c r="K21" s="5"/>
      <c r="L21" s="5"/>
      <c r="M21" s="5"/>
      <c r="N21" s="20"/>
      <c r="P21" s="286" t="s">
        <v>80</v>
      </c>
      <c r="Q21" s="285">
        <v>9.0119999999999992E-3</v>
      </c>
      <c r="R21" s="49"/>
    </row>
    <row r="22" spans="2:18" ht="15.75" x14ac:dyDescent="0.25">
      <c r="B22" s="93"/>
      <c r="C22" s="38" t="s">
        <v>384</v>
      </c>
      <c r="D22" s="38" t="s">
        <v>26</v>
      </c>
      <c r="E22" s="6">
        <v>6.6290000000000003E-3</v>
      </c>
      <c r="F22" s="5"/>
      <c r="G22" s="31"/>
      <c r="H22" s="31"/>
      <c r="I22" s="31"/>
      <c r="J22" s="5"/>
      <c r="K22" s="31"/>
      <c r="L22" s="5"/>
      <c r="M22" s="5"/>
      <c r="N22" s="20"/>
      <c r="P22" s="286" t="s">
        <v>82</v>
      </c>
      <c r="Q22" s="285">
        <v>8.9470000000000001E-3</v>
      </c>
      <c r="R22" s="49"/>
    </row>
    <row r="23" spans="2:18" ht="15.75" customHeight="1" x14ac:dyDescent="0.25">
      <c r="B23" s="93"/>
      <c r="C23" s="38"/>
      <c r="D23" s="4"/>
      <c r="E23" s="6"/>
      <c r="F23" s="5"/>
      <c r="G23" s="31"/>
      <c r="H23" s="31"/>
      <c r="I23" s="31"/>
      <c r="J23" s="5"/>
      <c r="K23" s="31"/>
      <c r="L23" s="5"/>
      <c r="M23" s="5"/>
      <c r="N23" s="20"/>
      <c r="P23" s="286" t="s">
        <v>74</v>
      </c>
      <c r="Q23" s="285">
        <v>8.6859999999999993E-3</v>
      </c>
      <c r="R23" s="49"/>
    </row>
    <row r="24" spans="2:18" ht="15.75" x14ac:dyDescent="0.25">
      <c r="B24" s="93"/>
      <c r="C24" s="106" t="s">
        <v>56</v>
      </c>
      <c r="D24" s="106"/>
      <c r="E24" s="107">
        <v>0.18820500000000001</v>
      </c>
      <c r="F24" s="5"/>
      <c r="G24" s="5"/>
      <c r="H24" s="5"/>
      <c r="I24" s="5"/>
      <c r="J24" s="5"/>
      <c r="K24" s="5"/>
      <c r="L24" s="5"/>
      <c r="M24" s="5"/>
      <c r="N24" s="20"/>
      <c r="P24" s="286" t="s">
        <v>81</v>
      </c>
      <c r="Q24" s="285">
        <v>8.6470000000000002E-3</v>
      </c>
      <c r="R24" s="49"/>
    </row>
    <row r="25" spans="2:18" ht="15.75" x14ac:dyDescent="0.25">
      <c r="B25" s="93"/>
      <c r="C25" s="4"/>
      <c r="D25" s="4"/>
      <c r="E25" s="6"/>
      <c r="F25" s="5"/>
      <c r="G25" s="5"/>
      <c r="H25" s="5"/>
      <c r="I25" s="5"/>
      <c r="J25" s="5"/>
      <c r="K25" s="5"/>
      <c r="L25" s="5"/>
      <c r="M25" s="5"/>
      <c r="N25" s="20"/>
      <c r="P25" s="286" t="s">
        <v>118</v>
      </c>
      <c r="Q25" s="285">
        <v>8.4529999999999987E-3</v>
      </c>
      <c r="R25" s="49"/>
    </row>
    <row r="26" spans="2:18" ht="15.75" x14ac:dyDescent="0.25">
      <c r="B26" s="93"/>
      <c r="C26" s="106" t="s">
        <v>66</v>
      </c>
      <c r="D26" s="106"/>
      <c r="E26" s="107">
        <v>0.31549499999999991</v>
      </c>
      <c r="F26" s="31"/>
      <c r="G26" s="5"/>
      <c r="H26" s="5"/>
      <c r="I26" s="5"/>
      <c r="J26" s="5"/>
      <c r="K26" s="5"/>
      <c r="L26" s="5"/>
      <c r="M26" s="5"/>
      <c r="N26" s="20"/>
      <c r="P26" s="286" t="s">
        <v>12</v>
      </c>
      <c r="Q26" s="285">
        <v>7.8709999999999995E-3</v>
      </c>
      <c r="R26" s="49"/>
    </row>
    <row r="27" spans="2:18" ht="15.75" x14ac:dyDescent="0.25">
      <c r="B27" s="93"/>
      <c r="C27" s="38"/>
      <c r="D27" s="58"/>
      <c r="E27" s="6"/>
      <c r="F27" s="5"/>
      <c r="G27" s="5"/>
      <c r="H27" s="5"/>
      <c r="I27" s="5"/>
      <c r="J27" s="5"/>
      <c r="K27" s="5"/>
      <c r="L27" s="5"/>
      <c r="M27" s="5"/>
      <c r="N27" s="20"/>
      <c r="P27" s="286" t="s">
        <v>115</v>
      </c>
      <c r="Q27" s="285">
        <v>7.4909999999999994E-3</v>
      </c>
      <c r="R27" s="49"/>
    </row>
    <row r="28" spans="2:18" s="48" customFormat="1" ht="13.5" customHeight="1" x14ac:dyDescent="0.25">
      <c r="B28" s="108"/>
      <c r="C28" s="106" t="s">
        <v>58</v>
      </c>
      <c r="D28" s="106"/>
      <c r="E28" s="178">
        <v>0.16150500000000001</v>
      </c>
      <c r="F28" s="41"/>
      <c r="G28" s="41"/>
      <c r="H28" s="41"/>
      <c r="I28" s="41"/>
      <c r="J28" s="41"/>
      <c r="K28" s="41"/>
      <c r="L28" s="41"/>
      <c r="M28" s="41"/>
      <c r="N28" s="109"/>
      <c r="P28" s="286" t="s">
        <v>114</v>
      </c>
      <c r="Q28" s="285">
        <v>7.1510000000000002E-3</v>
      </c>
      <c r="R28" s="110"/>
    </row>
    <row r="29" spans="2:18" ht="15.75" x14ac:dyDescent="0.25">
      <c r="B29" s="93"/>
      <c r="C29" s="38"/>
      <c r="D29" s="38"/>
      <c r="E29" s="6"/>
      <c r="F29" s="5"/>
      <c r="G29" s="5"/>
      <c r="H29" s="5"/>
      <c r="I29" s="5"/>
      <c r="J29" s="5"/>
      <c r="K29" s="5"/>
      <c r="L29" s="5"/>
      <c r="M29" s="5"/>
      <c r="N29" s="20"/>
      <c r="P29" s="286" t="s">
        <v>116</v>
      </c>
      <c r="Q29" s="285">
        <v>6.3090000000000004E-3</v>
      </c>
      <c r="R29" s="49"/>
    </row>
    <row r="30" spans="2:18" ht="15.75" x14ac:dyDescent="0.25">
      <c r="B30" s="93"/>
      <c r="C30" s="38" t="s">
        <v>219</v>
      </c>
      <c r="D30" s="38" t="s">
        <v>218</v>
      </c>
      <c r="E30" s="6">
        <v>7.8879000000000005E-2</v>
      </c>
      <c r="F30" s="5"/>
      <c r="G30" s="5"/>
      <c r="H30" s="5"/>
      <c r="I30" s="5"/>
      <c r="J30" s="5"/>
      <c r="K30" s="5"/>
      <c r="L30" s="5"/>
      <c r="M30" s="5"/>
      <c r="N30" s="20"/>
      <c r="P30" s="286" t="s">
        <v>121</v>
      </c>
      <c r="Q30" s="285">
        <v>5.8989999999999997E-3</v>
      </c>
      <c r="R30" s="49"/>
    </row>
    <row r="31" spans="2:18" ht="15.75" x14ac:dyDescent="0.25">
      <c r="B31" s="93"/>
      <c r="C31" s="38" t="s">
        <v>220</v>
      </c>
      <c r="D31" s="38" t="s">
        <v>218</v>
      </c>
      <c r="E31" s="6">
        <v>5.2218000000000001E-2</v>
      </c>
      <c r="F31" s="5"/>
      <c r="G31" s="5"/>
      <c r="H31" s="5"/>
      <c r="I31" s="5"/>
      <c r="J31" s="5"/>
      <c r="K31" s="5"/>
      <c r="L31" s="5"/>
      <c r="M31" s="5"/>
      <c r="N31" s="20"/>
      <c r="P31" s="286" t="s">
        <v>105</v>
      </c>
      <c r="Q31" s="285">
        <v>5.5919999999999997E-3</v>
      </c>
      <c r="R31" s="49"/>
    </row>
    <row r="32" spans="2:18" ht="15.75" x14ac:dyDescent="0.25">
      <c r="B32" s="93"/>
      <c r="C32" s="106" t="s">
        <v>217</v>
      </c>
      <c r="D32" s="106"/>
      <c r="E32" s="178">
        <v>0.13109699999999999</v>
      </c>
      <c r="F32" s="5"/>
      <c r="G32" s="5"/>
      <c r="H32" s="5"/>
      <c r="I32" s="5"/>
      <c r="J32" s="5"/>
      <c r="K32" s="5"/>
      <c r="L32" s="5"/>
      <c r="M32" s="5"/>
      <c r="N32" s="20"/>
      <c r="P32" s="286" t="s">
        <v>143</v>
      </c>
      <c r="Q32" s="285">
        <v>5.1109999999999992E-3</v>
      </c>
      <c r="R32" s="49"/>
    </row>
    <row r="33" spans="1:18" ht="15.75" x14ac:dyDescent="0.25">
      <c r="B33" s="93"/>
      <c r="C33" s="38"/>
      <c r="D33" s="4"/>
      <c r="E33" s="189"/>
      <c r="F33" s="5"/>
      <c r="G33" s="5"/>
      <c r="H33" s="5"/>
      <c r="I33" s="5"/>
      <c r="J33" s="5"/>
      <c r="K33" s="5"/>
      <c r="L33" s="5"/>
      <c r="M33" s="5"/>
      <c r="N33" s="20"/>
      <c r="P33" s="286" t="s">
        <v>124</v>
      </c>
      <c r="Q33" s="285">
        <v>4.8960000000000002E-3</v>
      </c>
      <c r="R33" s="49"/>
    </row>
    <row r="34" spans="1:18" ht="15.75" x14ac:dyDescent="0.25">
      <c r="B34" s="93"/>
      <c r="C34" s="38" t="s">
        <v>212</v>
      </c>
      <c r="D34" s="4" t="s">
        <v>61</v>
      </c>
      <c r="E34" s="189">
        <v>7.8081999999999999E-2</v>
      </c>
      <c r="F34" s="5"/>
      <c r="G34" s="5"/>
      <c r="H34" s="5"/>
      <c r="I34" s="5"/>
      <c r="J34" s="5"/>
      <c r="K34" s="5"/>
      <c r="L34" s="5"/>
      <c r="M34" s="5"/>
      <c r="N34" s="20"/>
      <c r="P34" s="286" t="s">
        <v>24</v>
      </c>
      <c r="Q34" s="285">
        <v>4.6979999999999999E-3</v>
      </c>
      <c r="R34" s="49"/>
    </row>
    <row r="35" spans="1:18" ht="15.75" x14ac:dyDescent="0.25">
      <c r="B35" s="93"/>
      <c r="C35" s="106" t="s">
        <v>42</v>
      </c>
      <c r="D35" s="106"/>
      <c r="E35" s="107">
        <v>7.8081999999999999E-2</v>
      </c>
      <c r="F35" s="5"/>
      <c r="G35" s="5"/>
      <c r="H35" s="5"/>
      <c r="I35" s="5"/>
      <c r="J35" s="5"/>
      <c r="K35" s="5"/>
      <c r="L35" s="5"/>
      <c r="M35" s="5"/>
      <c r="N35" s="20"/>
      <c r="P35" s="286" t="s">
        <v>103</v>
      </c>
      <c r="Q35" s="285">
        <v>4.6129999999999999E-3</v>
      </c>
      <c r="R35" s="49"/>
    </row>
    <row r="36" spans="1:18" ht="15.75" x14ac:dyDescent="0.25">
      <c r="B36" s="93"/>
      <c r="C36" s="111"/>
      <c r="D36" s="111"/>
      <c r="E36" s="112"/>
      <c r="F36" s="5"/>
      <c r="G36" s="5"/>
      <c r="H36" s="5"/>
      <c r="I36" s="5"/>
      <c r="J36" s="5"/>
      <c r="K36" s="5"/>
      <c r="L36" s="5"/>
      <c r="M36" s="5"/>
      <c r="N36" s="20"/>
      <c r="P36" s="286" t="s">
        <v>10</v>
      </c>
      <c r="Q36" s="285">
        <v>4.3169999999999971E-3</v>
      </c>
      <c r="R36" s="49"/>
    </row>
    <row r="37" spans="1:18" ht="15.75" x14ac:dyDescent="0.25">
      <c r="B37" s="93"/>
      <c r="C37" s="38" t="s">
        <v>216</v>
      </c>
      <c r="D37" s="38" t="s">
        <v>218</v>
      </c>
      <c r="E37" s="189">
        <v>9.4260999999999998E-2</v>
      </c>
      <c r="F37" s="5"/>
      <c r="G37" s="5"/>
      <c r="H37" s="5"/>
      <c r="I37" s="5"/>
      <c r="J37" s="5"/>
      <c r="K37" s="5"/>
      <c r="L37" s="5"/>
      <c r="M37" s="5"/>
      <c r="N37" s="20"/>
      <c r="P37" s="286" t="s">
        <v>13</v>
      </c>
      <c r="Q37" s="285">
        <v>4.28E-3</v>
      </c>
      <c r="R37" s="49"/>
    </row>
    <row r="38" spans="1:18" ht="15.75" x14ac:dyDescent="0.25">
      <c r="B38" s="93"/>
      <c r="C38" s="106" t="s">
        <v>215</v>
      </c>
      <c r="D38" s="106"/>
      <c r="E38" s="107">
        <v>9.4260999999999998E-2</v>
      </c>
      <c r="F38" s="5"/>
      <c r="G38" s="5"/>
      <c r="H38" s="5"/>
      <c r="I38" s="5"/>
      <c r="J38" s="5"/>
      <c r="K38" s="5"/>
      <c r="L38" s="5"/>
      <c r="M38" s="5"/>
      <c r="N38" s="20"/>
      <c r="P38" s="286" t="s">
        <v>134</v>
      </c>
      <c r="Q38" s="285">
        <v>3.9960000000000004E-3</v>
      </c>
      <c r="R38" s="49"/>
    </row>
    <row r="39" spans="1:18" ht="15.75" x14ac:dyDescent="0.25">
      <c r="B39" s="93"/>
      <c r="C39" s="111"/>
      <c r="D39" s="111"/>
      <c r="E39" s="112"/>
      <c r="F39" s="5"/>
      <c r="G39" s="5"/>
      <c r="H39" s="5"/>
      <c r="I39" s="5"/>
      <c r="J39" s="5"/>
      <c r="K39" s="5"/>
      <c r="L39" s="5"/>
      <c r="M39" s="5"/>
      <c r="N39" s="20"/>
      <c r="P39" s="286" t="s">
        <v>111</v>
      </c>
      <c r="Q39" s="285">
        <v>3.869E-3</v>
      </c>
      <c r="R39" s="49"/>
    </row>
    <row r="40" spans="1:18" ht="15.75" x14ac:dyDescent="0.25">
      <c r="B40" s="93"/>
      <c r="C40" s="106" t="s">
        <v>20</v>
      </c>
      <c r="D40" s="106"/>
      <c r="E40" s="107">
        <v>3.1354999999999994E-2</v>
      </c>
      <c r="F40" s="5"/>
      <c r="G40" s="5"/>
      <c r="H40" s="5"/>
      <c r="I40" s="5"/>
      <c r="J40" s="5"/>
      <c r="K40" s="5"/>
      <c r="L40" s="5"/>
      <c r="M40" s="5"/>
      <c r="N40" s="20"/>
      <c r="P40" s="286" t="s">
        <v>317</v>
      </c>
      <c r="Q40" s="285">
        <v>3.568E-3</v>
      </c>
      <c r="R40" s="49"/>
    </row>
    <row r="41" spans="1:18" ht="15.75" x14ac:dyDescent="0.25">
      <c r="B41" s="93"/>
      <c r="C41" s="4"/>
      <c r="D41" s="4"/>
      <c r="E41" s="32"/>
      <c r="F41" s="5"/>
      <c r="G41" s="5"/>
      <c r="H41" s="5"/>
      <c r="I41" s="5"/>
      <c r="J41" s="5"/>
      <c r="K41" s="5"/>
      <c r="L41" s="5"/>
      <c r="M41" s="5"/>
      <c r="N41" s="20"/>
      <c r="P41" s="286" t="s">
        <v>130</v>
      </c>
      <c r="Q41" s="285">
        <v>3.388E-3</v>
      </c>
      <c r="R41" s="49"/>
    </row>
    <row r="42" spans="1:18" s="48" customFormat="1" ht="15.75" x14ac:dyDescent="0.25">
      <c r="B42" s="108"/>
      <c r="C42" s="113" t="s">
        <v>21</v>
      </c>
      <c r="D42" s="113"/>
      <c r="E42" s="114">
        <f>E40+E38+E35+E32+E28+E26+E24</f>
        <v>0.99999999999999978</v>
      </c>
      <c r="F42" s="41"/>
      <c r="G42" s="5"/>
      <c r="H42" s="5"/>
      <c r="I42" s="5"/>
      <c r="J42" s="5"/>
      <c r="K42" s="5"/>
      <c r="L42" s="41"/>
      <c r="M42" s="41"/>
      <c r="N42" s="109"/>
      <c r="P42" s="286" t="s">
        <v>25</v>
      </c>
      <c r="Q42" s="285">
        <v>2.8890000000000001E-3</v>
      </c>
      <c r="R42" s="110"/>
    </row>
    <row r="43" spans="1:18" ht="15.75" x14ac:dyDescent="0.25">
      <c r="B43" s="93"/>
      <c r="F43" s="5"/>
      <c r="G43" s="5"/>
      <c r="H43" s="5"/>
      <c r="I43" s="5"/>
      <c r="J43" s="5"/>
      <c r="K43" s="5"/>
      <c r="L43" s="5"/>
      <c r="M43" s="5"/>
      <c r="N43" s="20"/>
      <c r="P43" s="286" t="s">
        <v>119</v>
      </c>
      <c r="Q43" s="285">
        <v>2.6020000000000001E-3</v>
      </c>
      <c r="R43" s="49"/>
    </row>
    <row r="44" spans="1:18" ht="15.75" x14ac:dyDescent="0.25">
      <c r="A44" s="5"/>
      <c r="B44" s="93"/>
      <c r="F44" s="5"/>
      <c r="G44" s="5"/>
      <c r="H44" s="5"/>
      <c r="I44" s="5"/>
      <c r="J44" s="5"/>
      <c r="K44" s="5"/>
      <c r="L44" s="5"/>
      <c r="M44" s="5"/>
      <c r="N44" s="20"/>
      <c r="O44" s="5"/>
      <c r="P44" s="286" t="s">
        <v>179</v>
      </c>
      <c r="Q44" s="285">
        <v>2.284E-3</v>
      </c>
      <c r="R44" s="49"/>
    </row>
    <row r="45" spans="1:18" ht="16.5" thickBot="1" x14ac:dyDescent="0.3">
      <c r="A45" s="5"/>
      <c r="B45" s="96"/>
      <c r="C45" s="45"/>
      <c r="D45" s="45"/>
      <c r="E45" s="45"/>
      <c r="F45" s="45"/>
      <c r="G45" s="45"/>
      <c r="H45" s="45"/>
      <c r="I45" s="45"/>
      <c r="J45" s="45"/>
      <c r="K45" s="45"/>
      <c r="L45" s="45"/>
      <c r="M45" s="45"/>
      <c r="N45" s="116"/>
      <c r="O45" s="5"/>
      <c r="P45" s="221" t="s">
        <v>15</v>
      </c>
      <c r="Q45" s="224">
        <v>-1.2000000000000075E-5</v>
      </c>
      <c r="R45" s="49"/>
    </row>
    <row r="46" spans="1:18" x14ac:dyDescent="0.2">
      <c r="R46" s="49"/>
    </row>
    <row r="47" spans="1:18" ht="15" customHeight="1" thickBot="1" x14ac:dyDescent="0.25"/>
    <row r="48" spans="1:18" ht="103.5" customHeight="1" thickBot="1" x14ac:dyDescent="0.25">
      <c r="B48" s="331" t="s">
        <v>177</v>
      </c>
      <c r="C48" s="332"/>
      <c r="D48" s="332"/>
      <c r="E48" s="332"/>
      <c r="F48" s="332"/>
      <c r="G48" s="332"/>
      <c r="H48" s="332"/>
      <c r="I48" s="332"/>
      <c r="J48" s="332"/>
      <c r="K48" s="332"/>
      <c r="L48" s="332"/>
      <c r="M48" s="332"/>
      <c r="N48" s="332"/>
      <c r="O48" s="332"/>
      <c r="P48" s="332"/>
      <c r="Q48" s="332"/>
      <c r="R48" s="333"/>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sheetData>
  <sortState ref="P8:Q43">
    <sortCondition descending="1" ref="Q43"/>
  </sortState>
  <mergeCells count="3">
    <mergeCell ref="C3:N3"/>
    <mergeCell ref="D5:E5"/>
    <mergeCell ref="B48:R48"/>
  </mergeCells>
  <pageMargins left="0.7" right="0.7" top="0.75" bottom="0.75" header="0.3" footer="0.3"/>
  <pageSetup paperSize="9" scale="4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ColWidth="9.140625"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1"/>
      <c r="C2" s="42"/>
      <c r="D2" s="42"/>
      <c r="E2" s="42"/>
      <c r="F2" s="42"/>
      <c r="G2" s="42"/>
      <c r="H2" s="42"/>
      <c r="I2" s="42"/>
      <c r="J2" s="42"/>
      <c r="K2" s="42"/>
      <c r="L2" s="42"/>
      <c r="M2" s="92"/>
    </row>
    <row r="3" spans="2:16" ht="20.25" customHeight="1" x14ac:dyDescent="0.2">
      <c r="B3" s="93"/>
      <c r="C3" s="300" t="s">
        <v>155</v>
      </c>
      <c r="D3" s="300"/>
      <c r="E3" s="300"/>
      <c r="F3" s="300"/>
      <c r="G3" s="300"/>
      <c r="H3" s="300"/>
      <c r="I3" s="300"/>
      <c r="J3" s="300"/>
      <c r="K3" s="300"/>
      <c r="L3" s="300"/>
      <c r="M3" s="301"/>
    </row>
    <row r="4" spans="2:16" ht="15.75" x14ac:dyDescent="0.25">
      <c r="B4" s="93"/>
      <c r="C4" s="67" t="s">
        <v>430</v>
      </c>
      <c r="D4" s="29"/>
      <c r="E4" s="29"/>
      <c r="F4" s="5"/>
      <c r="G4" s="5"/>
      <c r="H4" s="5"/>
      <c r="I4" s="5"/>
      <c r="J4" s="5"/>
      <c r="K4" s="5"/>
      <c r="L4" s="5"/>
      <c r="M4" s="20"/>
    </row>
    <row r="5" spans="2:16" ht="20.25" customHeight="1" x14ac:dyDescent="0.25">
      <c r="B5" s="93"/>
      <c r="C5" s="211" t="s">
        <v>431</v>
      </c>
      <c r="D5" s="94" t="s">
        <v>406</v>
      </c>
      <c r="E5" s="19"/>
      <c r="F5" s="5"/>
      <c r="G5" s="5"/>
      <c r="H5" s="5"/>
      <c r="I5" s="5"/>
      <c r="J5" s="5"/>
      <c r="K5" s="5"/>
      <c r="L5" s="5"/>
      <c r="M5" s="20"/>
    </row>
    <row r="6" spans="2:16" x14ac:dyDescent="0.2">
      <c r="B6" s="93"/>
      <c r="C6" s="5"/>
      <c r="D6" s="5"/>
      <c r="E6" s="5"/>
      <c r="F6" s="5"/>
      <c r="G6" s="5"/>
      <c r="H6" s="5"/>
      <c r="I6" s="5"/>
      <c r="J6" s="5"/>
      <c r="K6" s="5"/>
      <c r="L6" s="5"/>
      <c r="M6" s="20"/>
    </row>
    <row r="7" spans="2:16" ht="32.25" customHeight="1" x14ac:dyDescent="0.2">
      <c r="B7" s="93"/>
      <c r="C7" s="95" t="s">
        <v>43</v>
      </c>
      <c r="D7" s="95" t="s">
        <v>45</v>
      </c>
      <c r="E7" s="5"/>
      <c r="F7" s="302" t="s">
        <v>50</v>
      </c>
      <c r="G7" s="302"/>
      <c r="H7" s="302"/>
      <c r="I7" s="302"/>
      <c r="J7" s="302"/>
      <c r="K7" s="302"/>
      <c r="L7" s="302"/>
      <c r="M7" s="303"/>
    </row>
    <row r="8" spans="2:16" ht="15.75" x14ac:dyDescent="0.25">
      <c r="B8" s="93"/>
      <c r="C8" s="38" t="s">
        <v>175</v>
      </c>
      <c r="D8" s="190">
        <v>0.122632</v>
      </c>
      <c r="E8" s="29"/>
      <c r="F8" s="5"/>
      <c r="G8" s="31"/>
      <c r="H8" s="5"/>
      <c r="I8" s="5"/>
      <c r="J8" s="47"/>
      <c r="K8" s="5"/>
      <c r="L8" s="5"/>
      <c r="M8" s="20"/>
      <c r="P8" s="49"/>
    </row>
    <row r="9" spans="2:16" x14ac:dyDescent="0.2">
      <c r="B9" s="93"/>
      <c r="C9" s="102" t="s">
        <v>171</v>
      </c>
      <c r="D9" s="174">
        <v>9.7549999999999998E-2</v>
      </c>
      <c r="E9" s="5"/>
      <c r="F9" s="5"/>
      <c r="G9" s="5"/>
      <c r="H9" s="5"/>
      <c r="I9" s="5" t="s">
        <v>51</v>
      </c>
      <c r="J9" s="47">
        <f>D11</f>
        <v>0.31559499999999996</v>
      </c>
      <c r="K9" s="5"/>
      <c r="L9" s="5"/>
      <c r="M9" s="20"/>
      <c r="P9" s="49"/>
    </row>
    <row r="10" spans="2:16" x14ac:dyDescent="0.2">
      <c r="B10" s="93"/>
      <c r="C10" s="102" t="s">
        <v>172</v>
      </c>
      <c r="D10" s="174">
        <v>9.5412999999999998E-2</v>
      </c>
      <c r="E10" s="5"/>
      <c r="F10" s="5"/>
      <c r="G10" s="5"/>
      <c r="H10" s="5"/>
      <c r="I10" s="5" t="s">
        <v>53</v>
      </c>
      <c r="J10" s="47">
        <f>D16</f>
        <v>0.66211699999999996</v>
      </c>
      <c r="K10" s="5"/>
      <c r="L10" s="5"/>
      <c r="M10" s="20"/>
      <c r="P10" s="49"/>
    </row>
    <row r="11" spans="2:16" ht="15.75" x14ac:dyDescent="0.25">
      <c r="B11" s="93"/>
      <c r="C11" s="7" t="s">
        <v>52</v>
      </c>
      <c r="D11" s="8">
        <f>SUM(D8:D10)</f>
        <v>0.31559499999999996</v>
      </c>
      <c r="E11" s="5"/>
      <c r="F11" s="5"/>
      <c r="G11" s="5"/>
      <c r="H11" s="5"/>
      <c r="I11" s="5" t="s">
        <v>20</v>
      </c>
      <c r="J11" s="47">
        <f>D18</f>
        <v>2.2288000000000002E-2</v>
      </c>
      <c r="K11" s="5"/>
      <c r="L11" s="5"/>
      <c r="M11" s="20"/>
      <c r="P11" s="49"/>
    </row>
    <row r="12" spans="2:16" x14ac:dyDescent="0.2">
      <c r="B12" s="93"/>
      <c r="C12" s="102"/>
      <c r="D12" s="38"/>
      <c r="E12" s="5"/>
      <c r="F12" s="5"/>
      <c r="G12" s="5"/>
      <c r="H12" s="5"/>
      <c r="K12" s="5"/>
      <c r="L12" s="5"/>
      <c r="M12" s="20"/>
      <c r="P12" s="49"/>
    </row>
    <row r="13" spans="2:16" ht="15.75" customHeight="1" x14ac:dyDescent="0.2">
      <c r="B13" s="93"/>
      <c r="C13" s="4"/>
      <c r="D13" s="174"/>
      <c r="E13" s="5"/>
      <c r="F13" s="5"/>
      <c r="G13" s="5"/>
      <c r="H13" s="5"/>
      <c r="I13" s="5"/>
      <c r="J13" s="47"/>
      <c r="K13" s="5"/>
      <c r="L13" s="5"/>
      <c r="M13" s="20"/>
      <c r="P13" s="49"/>
    </row>
    <row r="14" spans="2:16" ht="15.75" customHeight="1" x14ac:dyDescent="0.2">
      <c r="B14" s="93"/>
      <c r="C14" s="4" t="s">
        <v>174</v>
      </c>
      <c r="D14" s="174">
        <v>0.599939</v>
      </c>
      <c r="E14" s="5"/>
      <c r="F14" s="5"/>
      <c r="G14" s="5"/>
      <c r="H14" s="5"/>
      <c r="I14" s="5"/>
      <c r="J14" s="47"/>
      <c r="K14" s="5"/>
      <c r="L14" s="5"/>
      <c r="M14" s="20"/>
      <c r="P14" s="49"/>
    </row>
    <row r="15" spans="2:16" x14ac:dyDescent="0.2">
      <c r="B15" s="93"/>
      <c r="C15" s="4" t="s">
        <v>173</v>
      </c>
      <c r="D15" s="174">
        <v>6.2177999999999997E-2</v>
      </c>
      <c r="E15" s="5"/>
      <c r="F15" s="5"/>
      <c r="G15" s="5"/>
      <c r="H15" s="5"/>
      <c r="I15" s="5"/>
      <c r="J15" s="103"/>
      <c r="K15" s="5"/>
      <c r="L15" s="5"/>
      <c r="M15" s="20"/>
      <c r="P15" s="49"/>
    </row>
    <row r="16" spans="2:16" ht="15.75" x14ac:dyDescent="0.25">
      <c r="B16" s="93"/>
      <c r="C16" s="7" t="s">
        <v>19</v>
      </c>
      <c r="D16" s="8">
        <f>SUM(D13:D15)</f>
        <v>0.66211699999999996</v>
      </c>
      <c r="E16" s="5"/>
      <c r="F16" s="5"/>
      <c r="G16" s="5"/>
      <c r="H16" s="5"/>
      <c r="I16" s="5"/>
      <c r="J16" s="5"/>
      <c r="K16" s="5"/>
      <c r="L16" s="5"/>
      <c r="M16" s="20"/>
      <c r="P16" s="49"/>
    </row>
    <row r="17" spans="2:18" ht="15.75" customHeight="1" x14ac:dyDescent="0.2">
      <c r="B17" s="93"/>
      <c r="C17" s="4"/>
      <c r="D17" s="6"/>
      <c r="E17" s="5"/>
      <c r="F17" s="5"/>
      <c r="G17" s="5"/>
      <c r="H17" s="5"/>
      <c r="I17" s="5"/>
      <c r="J17" s="5"/>
      <c r="K17" s="5"/>
      <c r="L17" s="5"/>
      <c r="M17" s="20"/>
      <c r="P17" s="49"/>
    </row>
    <row r="18" spans="2:18" ht="15.75" x14ac:dyDescent="0.25">
      <c r="B18" s="93"/>
      <c r="C18" s="7" t="s">
        <v>20</v>
      </c>
      <c r="D18" s="199">
        <v>2.2288000000000002E-2</v>
      </c>
      <c r="E18" s="5"/>
      <c r="F18" s="5"/>
      <c r="G18" s="5"/>
      <c r="H18" s="5"/>
      <c r="I18" s="5"/>
      <c r="J18" s="5"/>
      <c r="K18" s="5"/>
      <c r="L18" s="5"/>
      <c r="M18" s="20"/>
      <c r="P18" s="49"/>
    </row>
    <row r="19" spans="2:18" x14ac:dyDescent="0.2">
      <c r="B19" s="93"/>
      <c r="C19" s="4"/>
      <c r="D19" s="6"/>
      <c r="E19" s="5"/>
      <c r="F19" s="5"/>
      <c r="G19" s="5"/>
      <c r="H19" s="5"/>
      <c r="I19" s="5"/>
      <c r="J19" s="5"/>
      <c r="K19" s="5"/>
      <c r="L19" s="5"/>
      <c r="M19" s="20"/>
      <c r="P19" s="49"/>
    </row>
    <row r="20" spans="2:18" ht="15.75" x14ac:dyDescent="0.25">
      <c r="B20" s="93"/>
      <c r="C20" s="9" t="s">
        <v>54</v>
      </c>
      <c r="D20" s="10">
        <f>SUM(D18,D16,D11)</f>
        <v>0.99999999999999989</v>
      </c>
      <c r="E20" s="5"/>
      <c r="F20" s="5"/>
      <c r="G20" s="5"/>
      <c r="H20" s="5"/>
      <c r="I20" s="5"/>
      <c r="J20" s="5"/>
      <c r="K20" s="5"/>
      <c r="L20" s="5"/>
      <c r="M20" s="20"/>
      <c r="P20" s="49"/>
    </row>
    <row r="21" spans="2:18" x14ac:dyDescent="0.2">
      <c r="B21" s="93"/>
      <c r="E21" s="5"/>
      <c r="F21" s="5"/>
      <c r="G21" s="5"/>
      <c r="H21" s="5"/>
      <c r="I21" s="5"/>
      <c r="J21" s="5"/>
      <c r="K21" s="5"/>
      <c r="L21" s="5"/>
      <c r="M21" s="20"/>
      <c r="P21" s="49"/>
    </row>
    <row r="22" spans="2:18" x14ac:dyDescent="0.2">
      <c r="B22" s="93"/>
      <c r="E22" s="5"/>
      <c r="F22" s="5"/>
      <c r="G22" s="5"/>
      <c r="H22" s="5"/>
      <c r="I22" s="5"/>
      <c r="J22" s="5"/>
      <c r="K22" s="5"/>
      <c r="L22" s="5"/>
      <c r="M22" s="20"/>
      <c r="P22" s="49"/>
    </row>
    <row r="23" spans="2:18" ht="15" customHeight="1" x14ac:dyDescent="0.2">
      <c r="B23" s="93"/>
      <c r="C23" s="334"/>
      <c r="D23" s="334"/>
      <c r="E23" s="334"/>
      <c r="F23" s="334"/>
      <c r="G23" s="334"/>
      <c r="H23" s="5"/>
      <c r="I23" s="5"/>
      <c r="J23" s="5"/>
      <c r="K23" s="5"/>
      <c r="L23" s="5"/>
      <c r="M23" s="11"/>
      <c r="P23" s="49"/>
    </row>
    <row r="24" spans="2:18" ht="16.5" thickBot="1" x14ac:dyDescent="0.3">
      <c r="B24" s="96"/>
      <c r="C24" s="304"/>
      <c r="D24" s="304"/>
      <c r="E24" s="304"/>
      <c r="F24" s="304"/>
      <c r="G24" s="304"/>
      <c r="H24" s="304"/>
      <c r="I24" s="304"/>
      <c r="J24" s="304"/>
      <c r="K24" s="304"/>
      <c r="L24" s="304"/>
      <c r="M24" s="305"/>
      <c r="P24" s="49"/>
    </row>
    <row r="25" spans="2:18" ht="15.75" thickBot="1" x14ac:dyDescent="0.25">
      <c r="P25" s="49"/>
    </row>
    <row r="26" spans="2:18" ht="15" customHeight="1" x14ac:dyDescent="0.2">
      <c r="B26" s="306" t="s">
        <v>177</v>
      </c>
      <c r="C26" s="307"/>
      <c r="D26" s="307"/>
      <c r="E26" s="307"/>
      <c r="F26" s="307"/>
      <c r="G26" s="307"/>
      <c r="H26" s="307"/>
      <c r="I26" s="307"/>
      <c r="J26" s="307"/>
      <c r="K26" s="307"/>
      <c r="L26" s="307"/>
      <c r="M26" s="307"/>
      <c r="N26" s="307"/>
      <c r="O26" s="307"/>
      <c r="P26" s="307"/>
      <c r="Q26" s="307"/>
      <c r="R26" s="308"/>
    </row>
    <row r="27" spans="2:18" x14ac:dyDescent="0.2">
      <c r="B27" s="309"/>
      <c r="C27" s="310"/>
      <c r="D27" s="310"/>
      <c r="E27" s="310"/>
      <c r="F27" s="310"/>
      <c r="G27" s="310"/>
      <c r="H27" s="310"/>
      <c r="I27" s="310"/>
      <c r="J27" s="310"/>
      <c r="K27" s="310"/>
      <c r="L27" s="310"/>
      <c r="M27" s="310"/>
      <c r="N27" s="310"/>
      <c r="O27" s="310"/>
      <c r="P27" s="310"/>
      <c r="Q27" s="310"/>
      <c r="R27" s="311"/>
    </row>
    <row r="28" spans="2:18" x14ac:dyDescent="0.2">
      <c r="B28" s="309"/>
      <c r="C28" s="310"/>
      <c r="D28" s="310"/>
      <c r="E28" s="310"/>
      <c r="F28" s="310"/>
      <c r="G28" s="310"/>
      <c r="H28" s="310"/>
      <c r="I28" s="310"/>
      <c r="J28" s="310"/>
      <c r="K28" s="310"/>
      <c r="L28" s="310"/>
      <c r="M28" s="310"/>
      <c r="N28" s="310"/>
      <c r="O28" s="310"/>
      <c r="P28" s="310"/>
      <c r="Q28" s="310"/>
      <c r="R28" s="311"/>
    </row>
    <row r="29" spans="2:18" x14ac:dyDescent="0.2">
      <c r="B29" s="309"/>
      <c r="C29" s="310"/>
      <c r="D29" s="310"/>
      <c r="E29" s="310"/>
      <c r="F29" s="310"/>
      <c r="G29" s="310"/>
      <c r="H29" s="310"/>
      <c r="I29" s="310"/>
      <c r="J29" s="310"/>
      <c r="K29" s="310"/>
      <c r="L29" s="310"/>
      <c r="M29" s="310"/>
      <c r="N29" s="310"/>
      <c r="O29" s="310"/>
      <c r="P29" s="310"/>
      <c r="Q29" s="310"/>
      <c r="R29" s="311"/>
    </row>
    <row r="30" spans="2:18" x14ac:dyDescent="0.2">
      <c r="B30" s="309"/>
      <c r="C30" s="310"/>
      <c r="D30" s="310"/>
      <c r="E30" s="310"/>
      <c r="F30" s="310"/>
      <c r="G30" s="310"/>
      <c r="H30" s="310"/>
      <c r="I30" s="310"/>
      <c r="J30" s="310"/>
      <c r="K30" s="310"/>
      <c r="L30" s="310"/>
      <c r="M30" s="310"/>
      <c r="N30" s="310"/>
      <c r="O30" s="310"/>
      <c r="P30" s="310"/>
      <c r="Q30" s="310"/>
      <c r="R30" s="311"/>
    </row>
    <row r="31" spans="2:18" x14ac:dyDescent="0.2">
      <c r="B31" s="309"/>
      <c r="C31" s="310"/>
      <c r="D31" s="310"/>
      <c r="E31" s="310"/>
      <c r="F31" s="310"/>
      <c r="G31" s="310"/>
      <c r="H31" s="310"/>
      <c r="I31" s="310"/>
      <c r="J31" s="310"/>
      <c r="K31" s="310"/>
      <c r="L31" s="310"/>
      <c r="M31" s="310"/>
      <c r="N31" s="310"/>
      <c r="O31" s="310"/>
      <c r="P31" s="310"/>
      <c r="Q31" s="310"/>
      <c r="R31" s="311"/>
    </row>
    <row r="32" spans="2:18" ht="15.75" thickBot="1" x14ac:dyDescent="0.25">
      <c r="B32" s="312"/>
      <c r="C32" s="313"/>
      <c r="D32" s="313"/>
      <c r="E32" s="313"/>
      <c r="F32" s="313"/>
      <c r="G32" s="313"/>
      <c r="H32" s="313"/>
      <c r="I32" s="313"/>
      <c r="J32" s="313"/>
      <c r="K32" s="313"/>
      <c r="L32" s="313"/>
      <c r="M32" s="313"/>
      <c r="N32" s="313"/>
      <c r="O32" s="313"/>
      <c r="P32" s="313"/>
      <c r="Q32" s="313"/>
      <c r="R32" s="314"/>
    </row>
    <row r="33" spans="3:16" x14ac:dyDescent="0.2">
      <c r="P33" s="49"/>
    </row>
    <row r="34" spans="3:16" x14ac:dyDescent="0.2">
      <c r="C34" s="288"/>
      <c r="D34" s="287"/>
      <c r="P34" s="49"/>
    </row>
    <row r="35" spans="3:16" x14ac:dyDescent="0.2">
      <c r="C35" s="288"/>
      <c r="D35" s="287"/>
      <c r="P35" s="49"/>
    </row>
    <row r="36" spans="3:16" x14ac:dyDescent="0.2">
      <c r="C36" s="288"/>
      <c r="D36" s="287"/>
      <c r="P36" s="49"/>
    </row>
    <row r="37" spans="3:16" x14ac:dyDescent="0.2">
      <c r="C37" s="288"/>
      <c r="D37" s="287"/>
      <c r="P37" s="49"/>
    </row>
    <row r="38" spans="3:16" x14ac:dyDescent="0.2">
      <c r="C38" s="288"/>
      <c r="D38" s="287"/>
      <c r="P38" s="49"/>
    </row>
    <row r="39" spans="3:16" x14ac:dyDescent="0.2">
      <c r="C39" s="288"/>
      <c r="D39" s="287"/>
      <c r="P39" s="49"/>
    </row>
    <row r="40" spans="3:16" x14ac:dyDescent="0.2">
      <c r="C40" s="223"/>
      <c r="D40" s="222"/>
      <c r="P40" s="49"/>
    </row>
    <row r="41" spans="3:16" x14ac:dyDescent="0.2">
      <c r="C41" s="223"/>
      <c r="D41" s="222"/>
      <c r="P41" s="49"/>
    </row>
    <row r="42" spans="3:16" x14ac:dyDescent="0.2">
      <c r="C42" s="168"/>
      <c r="D42" s="238"/>
      <c r="P42" s="49"/>
    </row>
    <row r="43" spans="3:16" x14ac:dyDescent="0.2">
      <c r="C43" s="168"/>
      <c r="D43" s="169"/>
      <c r="P43" s="49"/>
    </row>
    <row r="44" spans="3:16" x14ac:dyDescent="0.2">
      <c r="C44" s="168"/>
      <c r="D44" s="169"/>
      <c r="P44" s="49"/>
    </row>
    <row r="45" spans="3:16" x14ac:dyDescent="0.2">
      <c r="D45" s="169"/>
      <c r="P45" s="49"/>
    </row>
    <row r="46" spans="3:16" x14ac:dyDescent="0.2">
      <c r="P46" s="49"/>
    </row>
    <row r="47" spans="3:16" x14ac:dyDescent="0.2">
      <c r="P47" s="49"/>
    </row>
    <row r="48" spans="3:16" x14ac:dyDescent="0.2">
      <c r="P48" s="49"/>
    </row>
    <row r="49" spans="16:16" x14ac:dyDescent="0.2">
      <c r="P49" s="49"/>
    </row>
    <row r="50" spans="16:16" x14ac:dyDescent="0.2">
      <c r="P50" s="49"/>
    </row>
    <row r="51" spans="16:16" x14ac:dyDescent="0.2">
      <c r="P51" s="49"/>
    </row>
    <row r="52" spans="16:16" x14ac:dyDescent="0.2">
      <c r="P52" s="49"/>
    </row>
    <row r="53" spans="16:16" x14ac:dyDescent="0.2">
      <c r="P53" s="49"/>
    </row>
    <row r="54" spans="16:16" x14ac:dyDescent="0.2">
      <c r="P54" s="49"/>
    </row>
    <row r="55" spans="16:16" x14ac:dyDescent="0.2">
      <c r="P55" s="49"/>
    </row>
    <row r="56" spans="16:16" x14ac:dyDescent="0.2">
      <c r="P56" s="49"/>
    </row>
    <row r="57" spans="16:16" x14ac:dyDescent="0.2">
      <c r="P57" s="49"/>
    </row>
    <row r="58" spans="16:16" x14ac:dyDescent="0.2">
      <c r="P58" s="49"/>
    </row>
    <row r="59" spans="16:16" x14ac:dyDescent="0.2">
      <c r="P59" s="49"/>
    </row>
    <row r="60" spans="16:16" x14ac:dyDescent="0.2">
      <c r="P60" s="49"/>
    </row>
    <row r="61" spans="16:16" x14ac:dyDescent="0.2">
      <c r="P61" s="49"/>
    </row>
    <row r="62" spans="16:16" x14ac:dyDescent="0.2">
      <c r="P62" s="49"/>
    </row>
    <row r="63" spans="16:16" x14ac:dyDescent="0.2">
      <c r="P63" s="49"/>
    </row>
    <row r="64" spans="16:16" x14ac:dyDescent="0.2">
      <c r="P64" s="49"/>
    </row>
    <row r="65" spans="16:16" x14ac:dyDescent="0.2">
      <c r="P65" s="49"/>
    </row>
    <row r="66" spans="16:16" x14ac:dyDescent="0.2">
      <c r="P66" s="49"/>
    </row>
    <row r="67" spans="16:16" x14ac:dyDescent="0.2">
      <c r="P67" s="49"/>
    </row>
    <row r="68" spans="16:16" x14ac:dyDescent="0.2">
      <c r="P68" s="49"/>
    </row>
    <row r="69" spans="16:16" x14ac:dyDescent="0.2">
      <c r="P69" s="49"/>
    </row>
    <row r="70" spans="16:16" x14ac:dyDescent="0.2">
      <c r="P70" s="49"/>
    </row>
    <row r="71" spans="16:16" x14ac:dyDescent="0.2">
      <c r="P71" s="49"/>
    </row>
    <row r="72" spans="16:16" x14ac:dyDescent="0.2">
      <c r="P72" s="49"/>
    </row>
    <row r="73" spans="16:16" x14ac:dyDescent="0.2">
      <c r="P73" s="49"/>
    </row>
    <row r="74" spans="16:16" x14ac:dyDescent="0.2">
      <c r="P74" s="49"/>
    </row>
    <row r="75" spans="16:16" x14ac:dyDescent="0.2">
      <c r="P75" s="49"/>
    </row>
    <row r="76" spans="16:16" x14ac:dyDescent="0.2">
      <c r="P76" s="49"/>
    </row>
    <row r="77" spans="16:16" x14ac:dyDescent="0.2">
      <c r="P77" s="49"/>
    </row>
    <row r="78" spans="16:16" x14ac:dyDescent="0.2">
      <c r="P78" s="49"/>
    </row>
    <row r="79" spans="16:16" x14ac:dyDescent="0.2">
      <c r="P79" s="49"/>
    </row>
    <row r="80" spans="16:16" x14ac:dyDescent="0.2">
      <c r="P80" s="49"/>
    </row>
    <row r="81" spans="16:16" x14ac:dyDescent="0.2">
      <c r="P81" s="49"/>
    </row>
    <row r="82" spans="16:16" x14ac:dyDescent="0.2">
      <c r="P82" s="49"/>
    </row>
    <row r="83" spans="16:16" x14ac:dyDescent="0.2">
      <c r="P83" s="49"/>
    </row>
    <row r="84" spans="16:16" x14ac:dyDescent="0.2">
      <c r="P84" s="49"/>
    </row>
    <row r="85" spans="16:16" x14ac:dyDescent="0.2">
      <c r="P85" s="49"/>
    </row>
    <row r="86" spans="16:16" x14ac:dyDescent="0.2">
      <c r="P86" s="49"/>
    </row>
    <row r="87" spans="16:16" x14ac:dyDescent="0.2">
      <c r="P87" s="49"/>
    </row>
    <row r="88" spans="16:16" x14ac:dyDescent="0.2">
      <c r="P88" s="49"/>
    </row>
    <row r="89" spans="16:16" x14ac:dyDescent="0.2">
      <c r="P89" s="49"/>
    </row>
    <row r="90" spans="16:16" x14ac:dyDescent="0.2">
      <c r="P90" s="49"/>
    </row>
    <row r="91" spans="16:16" x14ac:dyDescent="0.2">
      <c r="P91" s="49"/>
    </row>
    <row r="92" spans="16:16" x14ac:dyDescent="0.2">
      <c r="P92" s="49"/>
    </row>
    <row r="93" spans="16:16" x14ac:dyDescent="0.2">
      <c r="P93" s="49"/>
    </row>
    <row r="94" spans="16:16" x14ac:dyDescent="0.2">
      <c r="P94" s="49"/>
    </row>
    <row r="95" spans="16:16" x14ac:dyDescent="0.2">
      <c r="P95" s="49"/>
    </row>
    <row r="96" spans="16:16" x14ac:dyDescent="0.2">
      <c r="P96" s="49"/>
    </row>
    <row r="97" spans="16:16" x14ac:dyDescent="0.2">
      <c r="P97" s="49"/>
    </row>
    <row r="98" spans="16:16" x14ac:dyDescent="0.2">
      <c r="P98" s="49"/>
    </row>
    <row r="99" spans="16:16" x14ac:dyDescent="0.2">
      <c r="P99" s="49"/>
    </row>
    <row r="100" spans="16:16" x14ac:dyDescent="0.2">
      <c r="P100" s="49"/>
    </row>
    <row r="101" spans="16:16" x14ac:dyDescent="0.2">
      <c r="P101" s="49"/>
    </row>
    <row r="102" spans="16:16" x14ac:dyDescent="0.2">
      <c r="P102" s="49"/>
    </row>
    <row r="103" spans="16:16" x14ac:dyDescent="0.2">
      <c r="P103" s="49"/>
    </row>
    <row r="104" spans="16:16" x14ac:dyDescent="0.2">
      <c r="P104" s="49"/>
    </row>
    <row r="105" spans="16:16" x14ac:dyDescent="0.2">
      <c r="P105" s="49"/>
    </row>
    <row r="106" spans="16:16" x14ac:dyDescent="0.2">
      <c r="P106" s="49"/>
    </row>
    <row r="107" spans="16:16" x14ac:dyDescent="0.2">
      <c r="P107" s="49"/>
    </row>
    <row r="108" spans="16:16" x14ac:dyDescent="0.2">
      <c r="P108" s="49"/>
    </row>
    <row r="109" spans="16:16" x14ac:dyDescent="0.2">
      <c r="P109" s="49"/>
    </row>
    <row r="110" spans="16:16" x14ac:dyDescent="0.2">
      <c r="P110" s="49"/>
    </row>
    <row r="111" spans="16:16" x14ac:dyDescent="0.2">
      <c r="P111" s="49"/>
    </row>
    <row r="112" spans="16:16" x14ac:dyDescent="0.2">
      <c r="P112" s="49"/>
    </row>
    <row r="113" spans="16:16" x14ac:dyDescent="0.2">
      <c r="P113" s="49"/>
    </row>
    <row r="114" spans="16:16" x14ac:dyDescent="0.2">
      <c r="P114" s="49"/>
    </row>
    <row r="115" spans="16:16" x14ac:dyDescent="0.2">
      <c r="P115" s="49"/>
    </row>
    <row r="116" spans="16:16" x14ac:dyDescent="0.2">
      <c r="P116" s="49"/>
    </row>
    <row r="117" spans="16:16" x14ac:dyDescent="0.2">
      <c r="P117" s="49"/>
    </row>
    <row r="118" spans="16:16" x14ac:dyDescent="0.2">
      <c r="P118" s="49"/>
    </row>
    <row r="119" spans="16:16" x14ac:dyDescent="0.2">
      <c r="P119" s="49"/>
    </row>
    <row r="120" spans="16:16" x14ac:dyDescent="0.2">
      <c r="P120" s="49"/>
    </row>
    <row r="121" spans="16:16" x14ac:dyDescent="0.2">
      <c r="P121" s="49"/>
    </row>
    <row r="122" spans="16:16" x14ac:dyDescent="0.2">
      <c r="P122" s="49"/>
    </row>
    <row r="123" spans="16:16" x14ac:dyDescent="0.2">
      <c r="P123" s="49"/>
    </row>
    <row r="124" spans="16:16" x14ac:dyDescent="0.2">
      <c r="P124" s="49"/>
    </row>
    <row r="125" spans="16:16" x14ac:dyDescent="0.2">
      <c r="P125" s="49"/>
    </row>
    <row r="126" spans="16:16" x14ac:dyDescent="0.2">
      <c r="P126" s="49"/>
    </row>
    <row r="127" spans="16:16" x14ac:dyDescent="0.2">
      <c r="P127" s="49"/>
    </row>
    <row r="128" spans="16:16" x14ac:dyDescent="0.2">
      <c r="P128" s="49"/>
    </row>
    <row r="129" spans="16:16" x14ac:dyDescent="0.2">
      <c r="P129" s="49"/>
    </row>
    <row r="130" spans="16:16" x14ac:dyDescent="0.2">
      <c r="P130" s="49"/>
    </row>
    <row r="131" spans="16:16" x14ac:dyDescent="0.2">
      <c r="P131" s="49"/>
    </row>
    <row r="132" spans="16:16" x14ac:dyDescent="0.2">
      <c r="P132" s="49"/>
    </row>
    <row r="133" spans="16:16" x14ac:dyDescent="0.2">
      <c r="P133" s="49"/>
    </row>
    <row r="134" spans="16:16" x14ac:dyDescent="0.2">
      <c r="P134" s="49"/>
    </row>
    <row r="135" spans="16:16" x14ac:dyDescent="0.2">
      <c r="P135" s="49"/>
    </row>
    <row r="136" spans="16:16" x14ac:dyDescent="0.2">
      <c r="P136" s="49"/>
    </row>
    <row r="137" spans="16:16" x14ac:dyDescent="0.2">
      <c r="P137" s="49"/>
    </row>
    <row r="138" spans="16:16" x14ac:dyDescent="0.2">
      <c r="P138" s="49"/>
    </row>
    <row r="139" spans="16:16" x14ac:dyDescent="0.2">
      <c r="P139" s="49"/>
    </row>
    <row r="140" spans="16:16" x14ac:dyDescent="0.2">
      <c r="P140" s="49"/>
    </row>
    <row r="141" spans="16:16" x14ac:dyDescent="0.2">
      <c r="P141" s="49"/>
    </row>
    <row r="142" spans="16:16" x14ac:dyDescent="0.2">
      <c r="P142" s="49"/>
    </row>
    <row r="143" spans="16:16" x14ac:dyDescent="0.2">
      <c r="P143" s="49"/>
    </row>
    <row r="144" spans="16:16" x14ac:dyDescent="0.2">
      <c r="P144" s="49"/>
    </row>
    <row r="145" spans="16:16" x14ac:dyDescent="0.2">
      <c r="P145" s="49"/>
    </row>
    <row r="146" spans="16:16" x14ac:dyDescent="0.2">
      <c r="P146" s="49"/>
    </row>
    <row r="147" spans="16:16" x14ac:dyDescent="0.2">
      <c r="P147" s="49"/>
    </row>
    <row r="148" spans="16:16" x14ac:dyDescent="0.2">
      <c r="P148" s="49"/>
    </row>
    <row r="149" spans="16:16" x14ac:dyDescent="0.2">
      <c r="P149" s="49"/>
    </row>
    <row r="150" spans="16:16" x14ac:dyDescent="0.2">
      <c r="P150" s="49"/>
    </row>
    <row r="151" spans="16:16" x14ac:dyDescent="0.2">
      <c r="P151" s="49"/>
    </row>
    <row r="152" spans="16:16" x14ac:dyDescent="0.2">
      <c r="P152" s="49"/>
    </row>
    <row r="153" spans="16:16" x14ac:dyDescent="0.2">
      <c r="P153" s="49"/>
    </row>
    <row r="154" spans="16:16" x14ac:dyDescent="0.2">
      <c r="P154" s="49"/>
    </row>
    <row r="155" spans="16:16" x14ac:dyDescent="0.2">
      <c r="P155" s="49"/>
    </row>
    <row r="156" spans="16:16" x14ac:dyDescent="0.2">
      <c r="P156" s="49"/>
    </row>
    <row r="157" spans="16:16" x14ac:dyDescent="0.2">
      <c r="P157" s="49"/>
    </row>
    <row r="158" spans="16:16" x14ac:dyDescent="0.2">
      <c r="P158" s="49"/>
    </row>
    <row r="159" spans="16:16" x14ac:dyDescent="0.2">
      <c r="P159" s="49"/>
    </row>
    <row r="160" spans="16:16" x14ac:dyDescent="0.2">
      <c r="P160" s="49"/>
    </row>
    <row r="161" spans="16:16" x14ac:dyDescent="0.2">
      <c r="P161" s="49"/>
    </row>
    <row r="162" spans="16:16" x14ac:dyDescent="0.2">
      <c r="P162" s="49"/>
    </row>
    <row r="163" spans="16:16" x14ac:dyDescent="0.2">
      <c r="P163" s="49"/>
    </row>
    <row r="164" spans="16:16" x14ac:dyDescent="0.2">
      <c r="P164" s="49"/>
    </row>
    <row r="165" spans="16:16" x14ac:dyDescent="0.2">
      <c r="P165" s="49"/>
    </row>
    <row r="166" spans="16:16" x14ac:dyDescent="0.2">
      <c r="P166" s="49"/>
    </row>
    <row r="167" spans="16:16" x14ac:dyDescent="0.2">
      <c r="P167" s="49"/>
    </row>
    <row r="168" spans="16:16" x14ac:dyDescent="0.2">
      <c r="P168" s="49"/>
    </row>
    <row r="169" spans="16:16" x14ac:dyDescent="0.2">
      <c r="P169" s="49"/>
    </row>
    <row r="170" spans="16:16" x14ac:dyDescent="0.2">
      <c r="P170" s="49"/>
    </row>
    <row r="171" spans="16:16" x14ac:dyDescent="0.2">
      <c r="P171" s="49"/>
    </row>
    <row r="172" spans="16:16" x14ac:dyDescent="0.2">
      <c r="P172" s="49"/>
    </row>
    <row r="173" spans="16:16" x14ac:dyDescent="0.2">
      <c r="P173" s="49"/>
    </row>
    <row r="174" spans="16:16" x14ac:dyDescent="0.2">
      <c r="P174" s="49"/>
    </row>
    <row r="175" spans="16:16" x14ac:dyDescent="0.2">
      <c r="P175" s="49"/>
    </row>
    <row r="176" spans="16:16" x14ac:dyDescent="0.2">
      <c r="P176" s="49"/>
    </row>
    <row r="177" spans="16:16" x14ac:dyDescent="0.2">
      <c r="P177" s="49"/>
    </row>
    <row r="178" spans="16:16" x14ac:dyDescent="0.2">
      <c r="P178" s="49"/>
    </row>
    <row r="179" spans="16:16" x14ac:dyDescent="0.2">
      <c r="P179" s="49"/>
    </row>
    <row r="180" spans="16:16" x14ac:dyDescent="0.2">
      <c r="P180" s="49"/>
    </row>
    <row r="181" spans="16:16" x14ac:dyDescent="0.2">
      <c r="P181" s="49"/>
    </row>
    <row r="182" spans="16:16" x14ac:dyDescent="0.2">
      <c r="P182" s="49"/>
    </row>
    <row r="183" spans="16:16" x14ac:dyDescent="0.2">
      <c r="P183" s="49"/>
    </row>
    <row r="184" spans="16:16" x14ac:dyDescent="0.2">
      <c r="P184" s="49"/>
    </row>
    <row r="185" spans="16:16" x14ac:dyDescent="0.2">
      <c r="P185" s="49"/>
    </row>
    <row r="186" spans="16:16" x14ac:dyDescent="0.2">
      <c r="P186" s="49"/>
    </row>
    <row r="187" spans="16:16" x14ac:dyDescent="0.2">
      <c r="P187" s="49"/>
    </row>
    <row r="188" spans="16:16" x14ac:dyDescent="0.2">
      <c r="P188" s="49"/>
    </row>
    <row r="189" spans="16:16" x14ac:dyDescent="0.2">
      <c r="P189" s="49"/>
    </row>
    <row r="190" spans="16:16" x14ac:dyDescent="0.2">
      <c r="P190" s="49"/>
    </row>
    <row r="191" spans="16:16" x14ac:dyDescent="0.2">
      <c r="P191" s="49"/>
    </row>
    <row r="192" spans="16:16" x14ac:dyDescent="0.2">
      <c r="P192" s="49"/>
    </row>
    <row r="193" spans="16:16" x14ac:dyDescent="0.2">
      <c r="P193" s="49"/>
    </row>
    <row r="194" spans="16:16" x14ac:dyDescent="0.2">
      <c r="P194" s="49"/>
    </row>
    <row r="195" spans="16:16" x14ac:dyDescent="0.2">
      <c r="P195" s="49"/>
    </row>
    <row r="196" spans="16:16" x14ac:dyDescent="0.2">
      <c r="P196" s="49"/>
    </row>
    <row r="197" spans="16:16" x14ac:dyDescent="0.2">
      <c r="P197" s="49"/>
    </row>
    <row r="198" spans="16:16" x14ac:dyDescent="0.2">
      <c r="P198" s="49"/>
    </row>
    <row r="199" spans="16:16" x14ac:dyDescent="0.2">
      <c r="P199" s="49"/>
    </row>
    <row r="200" spans="16:16" x14ac:dyDescent="0.2">
      <c r="P200" s="49"/>
    </row>
    <row r="201" spans="16:16" x14ac:dyDescent="0.2">
      <c r="P201" s="49"/>
    </row>
    <row r="202" spans="16:16" x14ac:dyDescent="0.2">
      <c r="P202" s="49"/>
    </row>
    <row r="203" spans="16:16" x14ac:dyDescent="0.2">
      <c r="P203" s="49"/>
    </row>
    <row r="204" spans="16:16" x14ac:dyDescent="0.2">
      <c r="P204" s="49"/>
    </row>
    <row r="205" spans="16:16" x14ac:dyDescent="0.2">
      <c r="P205" s="49"/>
    </row>
    <row r="206" spans="16:16" x14ac:dyDescent="0.2">
      <c r="P206" s="49"/>
    </row>
    <row r="207" spans="16:16" x14ac:dyDescent="0.2">
      <c r="P207" s="49"/>
    </row>
    <row r="208" spans="16:16" x14ac:dyDescent="0.2">
      <c r="P208" s="49"/>
    </row>
    <row r="209" spans="16:16" x14ac:dyDescent="0.2">
      <c r="P209" s="49"/>
    </row>
    <row r="210" spans="16:16" x14ac:dyDescent="0.2">
      <c r="P210" s="49"/>
    </row>
    <row r="211" spans="16:16" x14ac:dyDescent="0.2">
      <c r="P211" s="49"/>
    </row>
    <row r="212" spans="16:16" x14ac:dyDescent="0.2">
      <c r="P212" s="49"/>
    </row>
    <row r="213" spans="16:16" x14ac:dyDescent="0.2">
      <c r="P213" s="49"/>
    </row>
    <row r="214" spans="16:16" x14ac:dyDescent="0.2">
      <c r="P214" s="49"/>
    </row>
    <row r="215" spans="16:16" x14ac:dyDescent="0.2">
      <c r="P215" s="49"/>
    </row>
    <row r="216" spans="16:16" x14ac:dyDescent="0.2">
      <c r="P216" s="49"/>
    </row>
    <row r="217" spans="16:16" x14ac:dyDescent="0.2">
      <c r="P217" s="49"/>
    </row>
    <row r="218" spans="16:16" x14ac:dyDescent="0.2">
      <c r="P218" s="49"/>
    </row>
    <row r="219" spans="16:16" x14ac:dyDescent="0.2">
      <c r="P219" s="49"/>
    </row>
    <row r="220" spans="16:16" x14ac:dyDescent="0.2">
      <c r="P220" s="49"/>
    </row>
    <row r="221" spans="16:16" x14ac:dyDescent="0.2">
      <c r="P221" s="49"/>
    </row>
    <row r="222" spans="16:16" x14ac:dyDescent="0.2">
      <c r="P222" s="49"/>
    </row>
    <row r="223" spans="16:16" x14ac:dyDescent="0.2">
      <c r="P223" s="49"/>
    </row>
    <row r="224" spans="16:16" x14ac:dyDescent="0.2">
      <c r="P224" s="49"/>
    </row>
    <row r="225" spans="16:16" x14ac:dyDescent="0.2">
      <c r="P225" s="49"/>
    </row>
    <row r="226" spans="16:16" x14ac:dyDescent="0.2">
      <c r="P226" s="49"/>
    </row>
    <row r="227" spans="16:16" x14ac:dyDescent="0.2">
      <c r="P227" s="49"/>
    </row>
    <row r="228" spans="16:16" x14ac:dyDescent="0.2">
      <c r="P228" s="49"/>
    </row>
    <row r="229" spans="16:16" x14ac:dyDescent="0.2">
      <c r="P229" s="49"/>
    </row>
    <row r="230" spans="16:16" x14ac:dyDescent="0.2">
      <c r="P230" s="49"/>
    </row>
    <row r="231" spans="16:16" x14ac:dyDescent="0.2">
      <c r="P231" s="49"/>
    </row>
    <row r="232" spans="16:16" x14ac:dyDescent="0.2">
      <c r="P232" s="49"/>
    </row>
    <row r="233" spans="16:16" x14ac:dyDescent="0.2">
      <c r="P233" s="49"/>
    </row>
    <row r="234" spans="16:16" x14ac:dyDescent="0.2">
      <c r="P234" s="49"/>
    </row>
    <row r="235" spans="16:16" x14ac:dyDescent="0.2">
      <c r="P235" s="49"/>
    </row>
    <row r="236" spans="16:16" x14ac:dyDescent="0.2">
      <c r="P236" s="49"/>
    </row>
    <row r="237" spans="16:16" x14ac:dyDescent="0.2">
      <c r="P237" s="49"/>
    </row>
    <row r="238" spans="16:16" x14ac:dyDescent="0.2">
      <c r="P238" s="49"/>
    </row>
    <row r="239" spans="16:16" x14ac:dyDescent="0.2">
      <c r="P239" s="49"/>
    </row>
    <row r="240" spans="16:16" x14ac:dyDescent="0.2">
      <c r="P240" s="49"/>
    </row>
    <row r="241" spans="16:16" x14ac:dyDescent="0.2">
      <c r="P241" s="49"/>
    </row>
    <row r="242" spans="16:16" x14ac:dyDescent="0.2">
      <c r="P242" s="49"/>
    </row>
    <row r="243" spans="16:16" x14ac:dyDescent="0.2">
      <c r="P243" s="49"/>
    </row>
    <row r="244" spans="16:16" x14ac:dyDescent="0.2">
      <c r="P244" s="49"/>
    </row>
    <row r="245" spans="16:16" x14ac:dyDescent="0.2">
      <c r="P245" s="49"/>
    </row>
    <row r="246" spans="16:16" x14ac:dyDescent="0.2">
      <c r="P246" s="49"/>
    </row>
    <row r="247" spans="16:16" x14ac:dyDescent="0.2">
      <c r="P247" s="49"/>
    </row>
    <row r="248" spans="16:16" x14ac:dyDescent="0.2">
      <c r="P248" s="49"/>
    </row>
    <row r="249" spans="16:16" x14ac:dyDescent="0.2">
      <c r="P249" s="49"/>
    </row>
    <row r="250" spans="16:16" x14ac:dyDescent="0.2">
      <c r="P250" s="49"/>
    </row>
    <row r="251" spans="16:16" x14ac:dyDescent="0.2">
      <c r="P251" s="49"/>
    </row>
    <row r="252" spans="16:16" x14ac:dyDescent="0.2">
      <c r="P252" s="49"/>
    </row>
    <row r="253" spans="16:16" x14ac:dyDescent="0.2">
      <c r="P253" s="49"/>
    </row>
    <row r="254" spans="16:16" x14ac:dyDescent="0.2">
      <c r="P254" s="49"/>
    </row>
    <row r="255" spans="16:16" x14ac:dyDescent="0.2">
      <c r="P255" s="49"/>
    </row>
    <row r="256" spans="16:16" x14ac:dyDescent="0.2">
      <c r="P256" s="49"/>
    </row>
    <row r="257" spans="16:16" x14ac:dyDescent="0.2">
      <c r="P257" s="49"/>
    </row>
    <row r="258" spans="16:16" x14ac:dyDescent="0.2">
      <c r="P258" s="49"/>
    </row>
    <row r="259" spans="16:16" x14ac:dyDescent="0.2">
      <c r="P259" s="49"/>
    </row>
    <row r="260" spans="16:16" x14ac:dyDescent="0.2">
      <c r="P260" s="49"/>
    </row>
    <row r="261" spans="16:16" x14ac:dyDescent="0.2">
      <c r="P261" s="49"/>
    </row>
    <row r="262" spans="16:16" x14ac:dyDescent="0.2">
      <c r="P262" s="49"/>
    </row>
    <row r="263" spans="16:16" x14ac:dyDescent="0.2">
      <c r="P263" s="49"/>
    </row>
    <row r="264" spans="16:16" x14ac:dyDescent="0.2">
      <c r="P264" s="49"/>
    </row>
    <row r="265" spans="16:16" x14ac:dyDescent="0.2">
      <c r="P265" s="49"/>
    </row>
    <row r="266" spans="16:16" x14ac:dyDescent="0.2">
      <c r="P266" s="49"/>
    </row>
    <row r="267" spans="16:16" x14ac:dyDescent="0.2">
      <c r="P267" s="49"/>
    </row>
    <row r="268" spans="16:16" x14ac:dyDescent="0.2">
      <c r="P268" s="49"/>
    </row>
    <row r="269" spans="16:16" x14ac:dyDescent="0.2">
      <c r="P269" s="49"/>
    </row>
    <row r="270" spans="16:16" x14ac:dyDescent="0.2">
      <c r="P270" s="49"/>
    </row>
    <row r="271" spans="16:16" x14ac:dyDescent="0.2">
      <c r="P271" s="49"/>
    </row>
    <row r="272" spans="16:16" x14ac:dyDescent="0.2">
      <c r="P272" s="49"/>
    </row>
    <row r="273" spans="16:16" x14ac:dyDescent="0.2">
      <c r="P273" s="49"/>
    </row>
    <row r="274" spans="16:16" x14ac:dyDescent="0.2">
      <c r="P274" s="49"/>
    </row>
    <row r="275" spans="16:16" x14ac:dyDescent="0.2">
      <c r="P275" s="49"/>
    </row>
    <row r="276" spans="16:16" x14ac:dyDescent="0.2">
      <c r="P276" s="49"/>
    </row>
    <row r="277" spans="16:16" x14ac:dyDescent="0.2">
      <c r="P277" s="49"/>
    </row>
    <row r="278" spans="16:16" x14ac:dyDescent="0.2">
      <c r="P278" s="49"/>
    </row>
    <row r="279" spans="16:16" x14ac:dyDescent="0.2">
      <c r="P279" s="49"/>
    </row>
    <row r="280" spans="16:16" x14ac:dyDescent="0.2">
      <c r="P280" s="49"/>
    </row>
    <row r="281" spans="16:16" x14ac:dyDescent="0.2">
      <c r="P281" s="49"/>
    </row>
    <row r="282" spans="16:16" x14ac:dyDescent="0.2">
      <c r="P282" s="49"/>
    </row>
    <row r="283" spans="16:16" x14ac:dyDescent="0.2">
      <c r="P283" s="49"/>
    </row>
    <row r="284" spans="16:16" x14ac:dyDescent="0.2">
      <c r="P284" s="49"/>
    </row>
    <row r="285" spans="16:16" x14ac:dyDescent="0.2">
      <c r="P285" s="49"/>
    </row>
    <row r="286" spans="16:16" x14ac:dyDescent="0.2">
      <c r="P286" s="49"/>
    </row>
    <row r="287" spans="16:16" x14ac:dyDescent="0.2">
      <c r="P287" s="49"/>
    </row>
    <row r="288" spans="16:16" x14ac:dyDescent="0.2">
      <c r="P288" s="49"/>
    </row>
    <row r="289" spans="16:16" x14ac:dyDescent="0.2">
      <c r="P289" s="49"/>
    </row>
    <row r="290" spans="16:16" x14ac:dyDescent="0.2">
      <c r="P290" s="49"/>
    </row>
    <row r="291" spans="16:16" x14ac:dyDescent="0.2">
      <c r="P291" s="49"/>
    </row>
    <row r="292" spans="16:16" x14ac:dyDescent="0.2">
      <c r="P292" s="49"/>
    </row>
    <row r="293" spans="16:16" x14ac:dyDescent="0.2">
      <c r="P293" s="49"/>
    </row>
    <row r="294" spans="16:16" x14ac:dyDescent="0.2">
      <c r="P294" s="49"/>
    </row>
    <row r="295" spans="16:16" x14ac:dyDescent="0.2">
      <c r="P295" s="49"/>
    </row>
    <row r="296" spans="16:16" x14ac:dyDescent="0.2">
      <c r="P296" s="49"/>
    </row>
    <row r="297" spans="16:16" x14ac:dyDescent="0.2">
      <c r="P297" s="49"/>
    </row>
    <row r="298" spans="16:16" x14ac:dyDescent="0.2">
      <c r="P298" s="49"/>
    </row>
    <row r="299" spans="16:16" x14ac:dyDescent="0.2">
      <c r="P299" s="49"/>
    </row>
    <row r="300" spans="16:16" x14ac:dyDescent="0.2">
      <c r="P300" s="49"/>
    </row>
    <row r="301" spans="16:16" x14ac:dyDescent="0.2">
      <c r="P301" s="49"/>
    </row>
    <row r="302" spans="16:16" x14ac:dyDescent="0.2">
      <c r="P302" s="49"/>
    </row>
    <row r="303" spans="16:16" x14ac:dyDescent="0.2">
      <c r="P303" s="49"/>
    </row>
    <row r="304" spans="16:16" x14ac:dyDescent="0.2">
      <c r="P304" s="49"/>
    </row>
    <row r="305" spans="16:16" x14ac:dyDescent="0.2">
      <c r="P305" s="49"/>
    </row>
    <row r="306" spans="16:16" x14ac:dyDescent="0.2">
      <c r="P306" s="49"/>
    </row>
    <row r="307" spans="16:16" x14ac:dyDescent="0.2">
      <c r="P307" s="49"/>
    </row>
    <row r="308" spans="16:16" x14ac:dyDescent="0.2">
      <c r="P308" s="49"/>
    </row>
    <row r="309" spans="16:16" x14ac:dyDescent="0.2">
      <c r="P309" s="49"/>
    </row>
    <row r="310" spans="16:16" x14ac:dyDescent="0.2">
      <c r="P310" s="49"/>
    </row>
    <row r="311" spans="16:16" x14ac:dyDescent="0.2">
      <c r="P311" s="49"/>
    </row>
    <row r="312" spans="16:16" x14ac:dyDescent="0.2">
      <c r="P312" s="49"/>
    </row>
    <row r="313" spans="16:16" x14ac:dyDescent="0.2">
      <c r="P313" s="49"/>
    </row>
    <row r="314" spans="16:16" x14ac:dyDescent="0.2">
      <c r="P314" s="49"/>
    </row>
    <row r="315" spans="16:16" x14ac:dyDescent="0.2">
      <c r="P315" s="49"/>
    </row>
    <row r="316" spans="16:16" x14ac:dyDescent="0.2">
      <c r="P316" s="49"/>
    </row>
    <row r="317" spans="16:16" x14ac:dyDescent="0.2">
      <c r="P317" s="49"/>
    </row>
    <row r="318" spans="16:16" x14ac:dyDescent="0.2">
      <c r="P318" s="49"/>
    </row>
    <row r="319" spans="16:16" x14ac:dyDescent="0.2">
      <c r="P319" s="49"/>
    </row>
    <row r="320" spans="16:16" x14ac:dyDescent="0.2">
      <c r="P320" s="49"/>
    </row>
    <row r="321" spans="16:16" x14ac:dyDescent="0.2">
      <c r="P321" s="49"/>
    </row>
    <row r="322" spans="16:16" x14ac:dyDescent="0.2">
      <c r="P322" s="49"/>
    </row>
    <row r="323" spans="16:16" x14ac:dyDescent="0.2">
      <c r="P323" s="49"/>
    </row>
    <row r="324" spans="16:16" x14ac:dyDescent="0.2">
      <c r="P324" s="49"/>
    </row>
    <row r="325" spans="16:16" x14ac:dyDescent="0.2">
      <c r="P325" s="49"/>
    </row>
    <row r="326" spans="16:16" x14ac:dyDescent="0.2">
      <c r="P326" s="49"/>
    </row>
    <row r="327" spans="16:16" x14ac:dyDescent="0.2">
      <c r="P327" s="49"/>
    </row>
    <row r="328" spans="16:16" x14ac:dyDescent="0.2">
      <c r="P328" s="49"/>
    </row>
    <row r="329" spans="16:16" x14ac:dyDescent="0.2">
      <c r="P329" s="49"/>
    </row>
    <row r="330" spans="16:16" x14ac:dyDescent="0.2">
      <c r="P330" s="49"/>
    </row>
    <row r="331" spans="16:16" x14ac:dyDescent="0.2">
      <c r="P331" s="49"/>
    </row>
    <row r="332" spans="16:16" x14ac:dyDescent="0.2">
      <c r="P332" s="49"/>
    </row>
    <row r="333" spans="16:16" x14ac:dyDescent="0.2">
      <c r="P333" s="49"/>
    </row>
    <row r="334" spans="16:16" x14ac:dyDescent="0.2">
      <c r="P334" s="49"/>
    </row>
    <row r="335" spans="16:16" x14ac:dyDescent="0.2">
      <c r="P335" s="49"/>
    </row>
    <row r="336" spans="16:16" x14ac:dyDescent="0.2">
      <c r="P336" s="49"/>
    </row>
    <row r="337" spans="16:16" x14ac:dyDescent="0.2">
      <c r="P337" s="49"/>
    </row>
    <row r="338" spans="16:16" x14ac:dyDescent="0.2">
      <c r="P338" s="49"/>
    </row>
    <row r="339" spans="16:16" x14ac:dyDescent="0.2">
      <c r="P339" s="49"/>
    </row>
    <row r="340" spans="16:16" x14ac:dyDescent="0.2">
      <c r="P340" s="49"/>
    </row>
    <row r="341" spans="16:16" x14ac:dyDescent="0.2">
      <c r="P341" s="49"/>
    </row>
    <row r="342" spans="16:16" x14ac:dyDescent="0.2">
      <c r="P342" s="49"/>
    </row>
    <row r="343" spans="16:16" x14ac:dyDescent="0.2">
      <c r="P343" s="49"/>
    </row>
    <row r="344" spans="16:16" x14ac:dyDescent="0.2">
      <c r="P344" s="49"/>
    </row>
    <row r="345" spans="16:16" x14ac:dyDescent="0.2">
      <c r="P345" s="49"/>
    </row>
    <row r="346" spans="16:16" x14ac:dyDescent="0.2">
      <c r="P346" s="49"/>
    </row>
    <row r="347" spans="16:16" x14ac:dyDescent="0.2">
      <c r="P347" s="49"/>
    </row>
    <row r="348" spans="16:16" x14ac:dyDescent="0.2">
      <c r="P348" s="49"/>
    </row>
    <row r="349" spans="16:16" x14ac:dyDescent="0.2">
      <c r="P349" s="49"/>
    </row>
    <row r="350" spans="16:16" x14ac:dyDescent="0.2">
      <c r="P350" s="49"/>
    </row>
    <row r="351" spans="16:16" x14ac:dyDescent="0.2">
      <c r="P351" s="49"/>
    </row>
    <row r="352" spans="16:16" x14ac:dyDescent="0.2">
      <c r="P352" s="49"/>
    </row>
    <row r="353" spans="16:16" x14ac:dyDescent="0.2">
      <c r="P353" s="49"/>
    </row>
    <row r="354" spans="16:16" x14ac:dyDescent="0.2">
      <c r="P354" s="49"/>
    </row>
    <row r="355" spans="16:16" x14ac:dyDescent="0.2">
      <c r="P355" s="49"/>
    </row>
    <row r="356" spans="16:16" x14ac:dyDescent="0.2">
      <c r="P356" s="49"/>
    </row>
    <row r="357" spans="16:16" x14ac:dyDescent="0.2">
      <c r="P357" s="49"/>
    </row>
    <row r="358" spans="16:16" x14ac:dyDescent="0.2">
      <c r="P358" s="49"/>
    </row>
    <row r="359" spans="16:16" x14ac:dyDescent="0.2">
      <c r="P359" s="49"/>
    </row>
    <row r="360" spans="16:16" x14ac:dyDescent="0.2">
      <c r="P360" s="49"/>
    </row>
    <row r="361" spans="16:16" x14ac:dyDescent="0.2">
      <c r="P361" s="49"/>
    </row>
    <row r="362" spans="16:16" x14ac:dyDescent="0.2">
      <c r="P362" s="49"/>
    </row>
    <row r="363" spans="16:16" x14ac:dyDescent="0.2">
      <c r="P363" s="49"/>
    </row>
    <row r="364" spans="16:16" x14ac:dyDescent="0.2">
      <c r="P364" s="49"/>
    </row>
    <row r="365" spans="16:16" x14ac:dyDescent="0.2">
      <c r="P365" s="49"/>
    </row>
    <row r="366" spans="16:16" x14ac:dyDescent="0.2">
      <c r="P366" s="49"/>
    </row>
    <row r="367" spans="16:16" x14ac:dyDescent="0.2">
      <c r="P367" s="49"/>
    </row>
    <row r="368" spans="16:16" x14ac:dyDescent="0.2">
      <c r="P368" s="49"/>
    </row>
    <row r="369" spans="16:16" x14ac:dyDescent="0.2">
      <c r="P369" s="49"/>
    </row>
    <row r="370" spans="16:16" x14ac:dyDescent="0.2">
      <c r="P370" s="49"/>
    </row>
    <row r="371" spans="16:16" x14ac:dyDescent="0.2">
      <c r="P371" s="49"/>
    </row>
    <row r="372" spans="16:16" x14ac:dyDescent="0.2">
      <c r="P372" s="49"/>
    </row>
    <row r="373" spans="16:16" x14ac:dyDescent="0.2">
      <c r="P373" s="49"/>
    </row>
    <row r="374" spans="16:16" x14ac:dyDescent="0.2">
      <c r="P374" s="49"/>
    </row>
    <row r="375" spans="16:16" x14ac:dyDescent="0.2">
      <c r="P375" s="49"/>
    </row>
    <row r="376" spans="16:16" x14ac:dyDescent="0.2">
      <c r="P376" s="49"/>
    </row>
    <row r="377" spans="16:16" x14ac:dyDescent="0.2">
      <c r="P377" s="49"/>
    </row>
    <row r="378" spans="16:16" x14ac:dyDescent="0.2">
      <c r="P378" s="49"/>
    </row>
    <row r="379" spans="16:16" x14ac:dyDescent="0.2">
      <c r="P379" s="49"/>
    </row>
    <row r="380" spans="16:16" x14ac:dyDescent="0.2">
      <c r="P380" s="49"/>
    </row>
    <row r="381" spans="16:16" x14ac:dyDescent="0.2">
      <c r="P381" s="49"/>
    </row>
    <row r="382" spans="16:16" x14ac:dyDescent="0.2">
      <c r="P382" s="49"/>
    </row>
    <row r="383" spans="16:16" x14ac:dyDescent="0.2">
      <c r="P383" s="49"/>
    </row>
    <row r="384" spans="16:16" x14ac:dyDescent="0.2">
      <c r="P384" s="49"/>
    </row>
    <row r="385" spans="16:16" x14ac:dyDescent="0.2">
      <c r="P385" s="49"/>
    </row>
    <row r="386" spans="16:16" x14ac:dyDescent="0.2">
      <c r="P386" s="49"/>
    </row>
    <row r="387" spans="16:16" x14ac:dyDescent="0.2">
      <c r="P387" s="49"/>
    </row>
    <row r="388" spans="16:16" x14ac:dyDescent="0.2">
      <c r="P388" s="49"/>
    </row>
    <row r="389" spans="16:16" x14ac:dyDescent="0.2">
      <c r="P389" s="49"/>
    </row>
    <row r="390" spans="16:16" x14ac:dyDescent="0.2">
      <c r="P390" s="49"/>
    </row>
    <row r="391" spans="16:16" x14ac:dyDescent="0.2">
      <c r="P391" s="49"/>
    </row>
    <row r="392" spans="16:16" x14ac:dyDescent="0.2">
      <c r="P392" s="49"/>
    </row>
    <row r="393" spans="16:16" x14ac:dyDescent="0.2">
      <c r="P393" s="49"/>
    </row>
    <row r="394" spans="16:16" x14ac:dyDescent="0.2">
      <c r="P394" s="49"/>
    </row>
    <row r="395" spans="16:16" x14ac:dyDescent="0.2">
      <c r="P395" s="49"/>
    </row>
    <row r="396" spans="16:16" x14ac:dyDescent="0.2">
      <c r="P396" s="49"/>
    </row>
    <row r="397" spans="16:16" x14ac:dyDescent="0.2">
      <c r="P397" s="49"/>
    </row>
    <row r="398" spans="16:16" x14ac:dyDescent="0.2">
      <c r="P398" s="49"/>
    </row>
    <row r="399" spans="16:16" x14ac:dyDescent="0.2">
      <c r="P399" s="49"/>
    </row>
    <row r="400" spans="16:16" x14ac:dyDescent="0.2">
      <c r="P400" s="49"/>
    </row>
    <row r="401" spans="16:16" x14ac:dyDescent="0.2">
      <c r="P401" s="49"/>
    </row>
    <row r="402" spans="16:16" x14ac:dyDescent="0.2">
      <c r="P402" s="49"/>
    </row>
    <row r="403" spans="16:16" x14ac:dyDescent="0.2">
      <c r="P403" s="49"/>
    </row>
    <row r="404" spans="16:16" x14ac:dyDescent="0.2">
      <c r="P404" s="49"/>
    </row>
    <row r="405" spans="16:16" x14ac:dyDescent="0.2">
      <c r="P405" s="49"/>
    </row>
    <row r="406" spans="16:16" x14ac:dyDescent="0.2">
      <c r="P406" s="49"/>
    </row>
    <row r="407" spans="16:16" x14ac:dyDescent="0.2">
      <c r="P407" s="49"/>
    </row>
    <row r="408" spans="16:16" x14ac:dyDescent="0.2">
      <c r="P408" s="49"/>
    </row>
    <row r="409" spans="16:16" x14ac:dyDescent="0.2">
      <c r="P409" s="49"/>
    </row>
    <row r="410" spans="16:16" x14ac:dyDescent="0.2">
      <c r="P410" s="49"/>
    </row>
    <row r="411" spans="16:16" x14ac:dyDescent="0.2">
      <c r="P411" s="49"/>
    </row>
    <row r="412" spans="16:16" x14ac:dyDescent="0.2">
      <c r="P412" s="49"/>
    </row>
    <row r="413" spans="16:16" x14ac:dyDescent="0.2">
      <c r="P413" s="49"/>
    </row>
    <row r="414" spans="16:16" x14ac:dyDescent="0.2">
      <c r="P414" s="49"/>
    </row>
    <row r="415" spans="16:16" x14ac:dyDescent="0.2">
      <c r="P415" s="49"/>
    </row>
    <row r="416" spans="16:16" x14ac:dyDescent="0.2">
      <c r="P416" s="49"/>
    </row>
    <row r="417" spans="16:16" x14ac:dyDescent="0.2">
      <c r="P417" s="49"/>
    </row>
    <row r="418" spans="16:16" x14ac:dyDescent="0.2">
      <c r="P418" s="49"/>
    </row>
    <row r="419" spans="16:16" x14ac:dyDescent="0.2">
      <c r="P419" s="49"/>
    </row>
    <row r="420" spans="16:16" x14ac:dyDescent="0.2">
      <c r="P420" s="49"/>
    </row>
    <row r="421" spans="16:16" x14ac:dyDescent="0.2">
      <c r="P421" s="49"/>
    </row>
    <row r="422" spans="16:16" x14ac:dyDescent="0.2">
      <c r="P422" s="49"/>
    </row>
    <row r="423" spans="16:16" x14ac:dyDescent="0.2">
      <c r="P423" s="49"/>
    </row>
    <row r="424" spans="16:16" x14ac:dyDescent="0.2">
      <c r="P424" s="49"/>
    </row>
    <row r="425" spans="16:16" x14ac:dyDescent="0.2">
      <c r="P425" s="49"/>
    </row>
    <row r="426" spans="16:16" x14ac:dyDescent="0.2">
      <c r="P426" s="49"/>
    </row>
    <row r="427" spans="16:16" x14ac:dyDescent="0.2">
      <c r="P427" s="49"/>
    </row>
    <row r="428" spans="16:16" x14ac:dyDescent="0.2">
      <c r="P428" s="49"/>
    </row>
    <row r="429" spans="16:16" x14ac:dyDescent="0.2">
      <c r="P429" s="49"/>
    </row>
    <row r="430" spans="16:16" x14ac:dyDescent="0.2">
      <c r="P430" s="49"/>
    </row>
    <row r="431" spans="16:16" x14ac:dyDescent="0.2">
      <c r="P431" s="49"/>
    </row>
    <row r="432" spans="16:16" x14ac:dyDescent="0.2">
      <c r="P432" s="49"/>
    </row>
    <row r="433" spans="16:16" x14ac:dyDescent="0.2">
      <c r="P433" s="49"/>
    </row>
    <row r="434" spans="16:16" x14ac:dyDescent="0.2">
      <c r="P434" s="49"/>
    </row>
    <row r="435" spans="16:16" x14ac:dyDescent="0.2">
      <c r="P435" s="49"/>
    </row>
    <row r="436" spans="16:16" x14ac:dyDescent="0.2">
      <c r="P436" s="49"/>
    </row>
    <row r="437" spans="16:16" x14ac:dyDescent="0.2">
      <c r="P437" s="49"/>
    </row>
    <row r="438" spans="16:16" x14ac:dyDescent="0.2">
      <c r="P438" s="49"/>
    </row>
    <row r="439" spans="16:16" x14ac:dyDescent="0.2">
      <c r="P439" s="49"/>
    </row>
    <row r="440" spans="16:16" x14ac:dyDescent="0.2">
      <c r="P440" s="49"/>
    </row>
    <row r="441" spans="16:16" x14ac:dyDescent="0.2">
      <c r="P441" s="49"/>
    </row>
    <row r="442" spans="16:16" x14ac:dyDescent="0.2">
      <c r="P442" s="49"/>
    </row>
    <row r="443" spans="16:16" x14ac:dyDescent="0.2">
      <c r="P443" s="49"/>
    </row>
    <row r="444" spans="16:16" x14ac:dyDescent="0.2">
      <c r="P444" s="49"/>
    </row>
    <row r="445" spans="16:16" x14ac:dyDescent="0.2">
      <c r="P445" s="49"/>
    </row>
    <row r="446" spans="16:16" x14ac:dyDescent="0.2">
      <c r="P446" s="49"/>
    </row>
    <row r="447" spans="16:16" x14ac:dyDescent="0.2">
      <c r="P447" s="49"/>
    </row>
    <row r="448" spans="16:16" x14ac:dyDescent="0.2">
      <c r="P448" s="49"/>
    </row>
    <row r="449" spans="16:16" x14ac:dyDescent="0.2">
      <c r="P449" s="49"/>
    </row>
    <row r="450" spans="16:16" x14ac:dyDescent="0.2">
      <c r="P450" s="49"/>
    </row>
    <row r="451" spans="16:16" x14ac:dyDescent="0.2">
      <c r="P451" s="49"/>
    </row>
    <row r="452" spans="16:16" x14ac:dyDescent="0.2">
      <c r="P452" s="49"/>
    </row>
    <row r="453" spans="16:16" x14ac:dyDescent="0.2">
      <c r="P453" s="49"/>
    </row>
    <row r="454" spans="16:16" x14ac:dyDescent="0.2">
      <c r="P454" s="49"/>
    </row>
    <row r="455" spans="16:16" x14ac:dyDescent="0.2">
      <c r="P455" s="49"/>
    </row>
    <row r="456" spans="16:16" x14ac:dyDescent="0.2">
      <c r="P456" s="49"/>
    </row>
    <row r="457" spans="16:16" x14ac:dyDescent="0.2">
      <c r="P457" s="49"/>
    </row>
    <row r="458" spans="16:16" x14ac:dyDescent="0.2">
      <c r="P458" s="49"/>
    </row>
    <row r="459" spans="16:16" x14ac:dyDescent="0.2">
      <c r="P459" s="49"/>
    </row>
    <row r="460" spans="16:16" x14ac:dyDescent="0.2">
      <c r="P460" s="49"/>
    </row>
    <row r="461" spans="16:16" x14ac:dyDescent="0.2">
      <c r="P461" s="49"/>
    </row>
    <row r="462" spans="16:16" x14ac:dyDescent="0.2">
      <c r="P462" s="49"/>
    </row>
    <row r="463" spans="16:16" x14ac:dyDescent="0.2">
      <c r="P463" s="49"/>
    </row>
    <row r="464" spans="16:16" x14ac:dyDescent="0.2">
      <c r="P464" s="49"/>
    </row>
    <row r="465" spans="16:16" x14ac:dyDescent="0.2">
      <c r="P465" s="49"/>
    </row>
    <row r="466" spans="16:16" x14ac:dyDescent="0.2">
      <c r="P466" s="49"/>
    </row>
    <row r="467" spans="16:16" x14ac:dyDescent="0.2">
      <c r="P467" s="49"/>
    </row>
    <row r="468" spans="16:16" x14ac:dyDescent="0.2">
      <c r="P468" s="49"/>
    </row>
    <row r="469" spans="16:16" x14ac:dyDescent="0.2">
      <c r="P469" s="49"/>
    </row>
    <row r="470" spans="16:16" x14ac:dyDescent="0.2">
      <c r="P470" s="49"/>
    </row>
    <row r="471" spans="16:16" x14ac:dyDescent="0.2">
      <c r="P471" s="49"/>
    </row>
    <row r="472" spans="16:16" x14ac:dyDescent="0.2">
      <c r="P472" s="49"/>
    </row>
    <row r="473" spans="16:16" x14ac:dyDescent="0.2">
      <c r="P473" s="49"/>
    </row>
    <row r="474" spans="16:16" x14ac:dyDescent="0.2">
      <c r="P474" s="49"/>
    </row>
    <row r="475" spans="16:16" x14ac:dyDescent="0.2">
      <c r="P475" s="49"/>
    </row>
    <row r="476" spans="16:16" x14ac:dyDescent="0.2">
      <c r="P476" s="49"/>
    </row>
    <row r="477" spans="16:16" x14ac:dyDescent="0.2">
      <c r="P477" s="49"/>
    </row>
    <row r="478" spans="16:16" x14ac:dyDescent="0.2">
      <c r="P478" s="49"/>
    </row>
    <row r="479" spans="16:16" x14ac:dyDescent="0.2">
      <c r="P479" s="49"/>
    </row>
    <row r="480" spans="16:16" x14ac:dyDescent="0.2">
      <c r="P480" s="49"/>
    </row>
    <row r="481" spans="16:16" x14ac:dyDescent="0.2">
      <c r="P481" s="49"/>
    </row>
    <row r="482" spans="16:16" x14ac:dyDescent="0.2">
      <c r="P482" s="49"/>
    </row>
    <row r="483" spans="16:16" x14ac:dyDescent="0.2">
      <c r="P483" s="49"/>
    </row>
    <row r="484" spans="16:16" x14ac:dyDescent="0.2">
      <c r="P484" s="49"/>
    </row>
    <row r="485" spans="16:16" x14ac:dyDescent="0.2">
      <c r="P485" s="49"/>
    </row>
    <row r="486" spans="16:16" x14ac:dyDescent="0.2">
      <c r="P486" s="49"/>
    </row>
    <row r="487" spans="16:16" x14ac:dyDescent="0.2">
      <c r="P487" s="49"/>
    </row>
    <row r="488" spans="16:16" x14ac:dyDescent="0.2">
      <c r="P488" s="49"/>
    </row>
    <row r="489" spans="16:16" x14ac:dyDescent="0.2">
      <c r="P489" s="49"/>
    </row>
    <row r="490" spans="16:16" x14ac:dyDescent="0.2">
      <c r="P490" s="49"/>
    </row>
    <row r="491" spans="16:16" x14ac:dyDescent="0.2">
      <c r="P491" s="49"/>
    </row>
    <row r="492" spans="16:16" x14ac:dyDescent="0.2">
      <c r="P492" s="49"/>
    </row>
    <row r="493" spans="16:16" x14ac:dyDescent="0.2">
      <c r="P493" s="49"/>
    </row>
    <row r="494" spans="16:16" x14ac:dyDescent="0.2">
      <c r="P494" s="49"/>
    </row>
    <row r="495" spans="16:16" x14ac:dyDescent="0.2">
      <c r="P495" s="49"/>
    </row>
    <row r="496" spans="16:16" x14ac:dyDescent="0.2">
      <c r="P496" s="49"/>
    </row>
    <row r="497" spans="16:16" x14ac:dyDescent="0.2">
      <c r="P497" s="49"/>
    </row>
    <row r="498" spans="16:16" x14ac:dyDescent="0.2">
      <c r="P498" s="49"/>
    </row>
    <row r="499" spans="16:16" x14ac:dyDescent="0.2">
      <c r="P499" s="49"/>
    </row>
    <row r="500" spans="16:16" x14ac:dyDescent="0.2">
      <c r="P500" s="49"/>
    </row>
    <row r="501" spans="16:16" x14ac:dyDescent="0.2">
      <c r="P501" s="49"/>
    </row>
    <row r="502" spans="16:16" x14ac:dyDescent="0.2">
      <c r="P502" s="49"/>
    </row>
    <row r="503" spans="16:16" x14ac:dyDescent="0.2">
      <c r="P503" s="49"/>
    </row>
    <row r="504" spans="16:16" x14ac:dyDescent="0.2">
      <c r="P504" s="49"/>
    </row>
    <row r="505" spans="16:16" x14ac:dyDescent="0.2">
      <c r="P505" s="49"/>
    </row>
    <row r="506" spans="16:16" x14ac:dyDescent="0.2">
      <c r="P506" s="49"/>
    </row>
    <row r="507" spans="16:16" x14ac:dyDescent="0.2">
      <c r="P507" s="49"/>
    </row>
    <row r="508" spans="16:16" x14ac:dyDescent="0.2">
      <c r="P508" s="49"/>
    </row>
    <row r="509" spans="16:16" x14ac:dyDescent="0.2">
      <c r="P509" s="49"/>
    </row>
    <row r="510" spans="16:16" x14ac:dyDescent="0.2">
      <c r="P510" s="49"/>
    </row>
    <row r="511" spans="16:16" x14ac:dyDescent="0.2">
      <c r="P511" s="49"/>
    </row>
    <row r="512" spans="16:16" x14ac:dyDescent="0.2">
      <c r="P512" s="49"/>
    </row>
    <row r="513" spans="16:16" x14ac:dyDescent="0.2">
      <c r="P513" s="49"/>
    </row>
    <row r="514" spans="16:16" x14ac:dyDescent="0.2">
      <c r="P514" s="49"/>
    </row>
    <row r="515" spans="16:16" x14ac:dyDescent="0.2">
      <c r="P515" s="49"/>
    </row>
    <row r="516" spans="16:16" x14ac:dyDescent="0.2">
      <c r="P516" s="49"/>
    </row>
    <row r="517" spans="16:16" x14ac:dyDescent="0.2">
      <c r="P517" s="49"/>
    </row>
    <row r="518" spans="16:16" x14ac:dyDescent="0.2">
      <c r="P518" s="49"/>
    </row>
    <row r="519" spans="16:16" x14ac:dyDescent="0.2">
      <c r="P519" s="49"/>
    </row>
    <row r="520" spans="16:16" x14ac:dyDescent="0.2">
      <c r="P520" s="49"/>
    </row>
    <row r="521" spans="16:16" x14ac:dyDescent="0.2">
      <c r="P521" s="49"/>
    </row>
    <row r="522" spans="16:16" x14ac:dyDescent="0.2">
      <c r="P522" s="49"/>
    </row>
    <row r="523" spans="16:16" x14ac:dyDescent="0.2">
      <c r="P523" s="49"/>
    </row>
    <row r="524" spans="16:16" x14ac:dyDescent="0.2">
      <c r="P524" s="49"/>
    </row>
    <row r="525" spans="16:16" x14ac:dyDescent="0.2">
      <c r="P525" s="49"/>
    </row>
    <row r="526" spans="16:16" x14ac:dyDescent="0.2">
      <c r="P526" s="49"/>
    </row>
    <row r="527" spans="16:16" x14ac:dyDescent="0.2">
      <c r="P527" s="49"/>
    </row>
    <row r="528" spans="16:16" x14ac:dyDescent="0.2">
      <c r="P528" s="49"/>
    </row>
    <row r="529" spans="16:16" x14ac:dyDescent="0.2">
      <c r="P529" s="49"/>
    </row>
    <row r="530" spans="16:16" x14ac:dyDescent="0.2">
      <c r="P530" s="49"/>
    </row>
    <row r="531" spans="16:16" x14ac:dyDescent="0.2">
      <c r="P531" s="49"/>
    </row>
    <row r="532" spans="16:16" x14ac:dyDescent="0.2">
      <c r="P532" s="49"/>
    </row>
    <row r="533" spans="16:16" x14ac:dyDescent="0.2">
      <c r="P533" s="49"/>
    </row>
    <row r="534" spans="16:16" x14ac:dyDescent="0.2">
      <c r="P534" s="49"/>
    </row>
    <row r="535" spans="16:16" x14ac:dyDescent="0.2">
      <c r="P535" s="49"/>
    </row>
    <row r="536" spans="16:16" x14ac:dyDescent="0.2">
      <c r="P536" s="49"/>
    </row>
    <row r="537" spans="16:16" x14ac:dyDescent="0.2">
      <c r="P537" s="49"/>
    </row>
    <row r="538" spans="16:16" x14ac:dyDescent="0.2">
      <c r="P538" s="49"/>
    </row>
    <row r="539" spans="16:16" x14ac:dyDescent="0.2">
      <c r="P539" s="49"/>
    </row>
    <row r="540" spans="16:16" x14ac:dyDescent="0.2">
      <c r="P540" s="49"/>
    </row>
    <row r="541" spans="16:16" x14ac:dyDescent="0.2">
      <c r="P541" s="49"/>
    </row>
    <row r="542" spans="16:16" x14ac:dyDescent="0.2">
      <c r="P542" s="49"/>
    </row>
    <row r="543" spans="16:16" x14ac:dyDescent="0.2">
      <c r="P543" s="49"/>
    </row>
    <row r="544" spans="16:16" x14ac:dyDescent="0.2">
      <c r="P544" s="49"/>
    </row>
    <row r="545" spans="16:16" x14ac:dyDescent="0.2">
      <c r="P545" s="49"/>
    </row>
    <row r="546" spans="16:16" x14ac:dyDescent="0.2">
      <c r="P546" s="49"/>
    </row>
    <row r="547" spans="16:16" x14ac:dyDescent="0.2">
      <c r="P547" s="49"/>
    </row>
    <row r="548" spans="16:16" x14ac:dyDescent="0.2">
      <c r="P548" s="49"/>
    </row>
    <row r="549" spans="16:16" x14ac:dyDescent="0.2">
      <c r="P549" s="49"/>
    </row>
    <row r="550" spans="16:16" x14ac:dyDescent="0.2">
      <c r="P550" s="49"/>
    </row>
    <row r="551" spans="16:16" x14ac:dyDescent="0.2">
      <c r="P551" s="49"/>
    </row>
    <row r="552" spans="16:16" x14ac:dyDescent="0.2">
      <c r="P552" s="49"/>
    </row>
    <row r="553" spans="16:16" x14ac:dyDescent="0.2">
      <c r="P553" s="49"/>
    </row>
    <row r="554" spans="16:16" x14ac:dyDescent="0.2">
      <c r="P554" s="49"/>
    </row>
    <row r="555" spans="16:16" x14ac:dyDescent="0.2">
      <c r="P555" s="49"/>
    </row>
    <row r="556" spans="16:16" x14ac:dyDescent="0.2">
      <c r="P556" s="49"/>
    </row>
    <row r="557" spans="16:16" x14ac:dyDescent="0.2">
      <c r="P557" s="49"/>
    </row>
    <row r="558" spans="16:16" x14ac:dyDescent="0.2">
      <c r="P558" s="49"/>
    </row>
    <row r="559" spans="16:16" x14ac:dyDescent="0.2">
      <c r="P559" s="49"/>
    </row>
    <row r="560" spans="16:16" x14ac:dyDescent="0.2">
      <c r="P560" s="49"/>
    </row>
    <row r="561" spans="16:16" x14ac:dyDescent="0.2">
      <c r="P561" s="49"/>
    </row>
    <row r="562" spans="16:16" x14ac:dyDescent="0.2">
      <c r="P562" s="49"/>
    </row>
    <row r="563" spans="16:16" x14ac:dyDescent="0.2">
      <c r="P563" s="49"/>
    </row>
    <row r="564" spans="16:16" x14ac:dyDescent="0.2">
      <c r="P564" s="49"/>
    </row>
    <row r="565" spans="16:16" x14ac:dyDescent="0.2">
      <c r="P565" s="49"/>
    </row>
    <row r="566" spans="16:16" x14ac:dyDescent="0.2">
      <c r="P566" s="49"/>
    </row>
    <row r="567" spans="16:16" x14ac:dyDescent="0.2">
      <c r="P567" s="49"/>
    </row>
    <row r="568" spans="16:16" x14ac:dyDescent="0.2">
      <c r="P568" s="49"/>
    </row>
    <row r="569" spans="16:16" x14ac:dyDescent="0.2">
      <c r="P569" s="49"/>
    </row>
    <row r="570" spans="16:16" x14ac:dyDescent="0.2">
      <c r="P570" s="49"/>
    </row>
    <row r="571" spans="16:16" x14ac:dyDescent="0.2">
      <c r="P571" s="49"/>
    </row>
    <row r="572" spans="16:16" x14ac:dyDescent="0.2">
      <c r="P572" s="49"/>
    </row>
    <row r="573" spans="16:16" x14ac:dyDescent="0.2">
      <c r="P573" s="49"/>
    </row>
    <row r="574" spans="16:16" x14ac:dyDescent="0.2">
      <c r="P574" s="49"/>
    </row>
    <row r="575" spans="16:16" x14ac:dyDescent="0.2">
      <c r="P575" s="49"/>
    </row>
    <row r="576" spans="16:16" x14ac:dyDescent="0.2">
      <c r="P576" s="49"/>
    </row>
    <row r="577" spans="16:16" x14ac:dyDescent="0.2">
      <c r="P577" s="49"/>
    </row>
    <row r="578" spans="16:16" x14ac:dyDescent="0.2">
      <c r="P578" s="49"/>
    </row>
    <row r="579" spans="16:16" x14ac:dyDescent="0.2">
      <c r="P579" s="49"/>
    </row>
    <row r="580" spans="16:16" x14ac:dyDescent="0.2">
      <c r="P580" s="49"/>
    </row>
    <row r="581" spans="16:16" x14ac:dyDescent="0.2">
      <c r="P581" s="49"/>
    </row>
    <row r="582" spans="16:16" x14ac:dyDescent="0.2">
      <c r="P582" s="49"/>
    </row>
    <row r="583" spans="16:16" x14ac:dyDescent="0.2">
      <c r="P583" s="49"/>
    </row>
    <row r="584" spans="16:16" x14ac:dyDescent="0.2">
      <c r="P584" s="49"/>
    </row>
    <row r="585" spans="16:16" x14ac:dyDescent="0.2">
      <c r="P585" s="49"/>
    </row>
    <row r="586" spans="16:16" x14ac:dyDescent="0.2">
      <c r="P586" s="49"/>
    </row>
    <row r="587" spans="16:16" x14ac:dyDescent="0.2">
      <c r="P587" s="49"/>
    </row>
    <row r="588" spans="16:16" x14ac:dyDescent="0.2">
      <c r="P588" s="49"/>
    </row>
    <row r="589" spans="16:16" x14ac:dyDescent="0.2">
      <c r="P589" s="49"/>
    </row>
    <row r="590" spans="16:16" x14ac:dyDescent="0.2">
      <c r="P590" s="49"/>
    </row>
    <row r="591" spans="16:16" x14ac:dyDescent="0.2">
      <c r="P591" s="49"/>
    </row>
    <row r="592" spans="16:16" x14ac:dyDescent="0.2">
      <c r="P592" s="49"/>
    </row>
    <row r="593" spans="16:16" x14ac:dyDescent="0.2">
      <c r="P593" s="49"/>
    </row>
    <row r="594" spans="16:16" x14ac:dyDescent="0.2">
      <c r="P594" s="49"/>
    </row>
    <row r="595" spans="16:16" x14ac:dyDescent="0.2">
      <c r="P595" s="49"/>
    </row>
    <row r="596" spans="16:16" x14ac:dyDescent="0.2">
      <c r="P596" s="49"/>
    </row>
    <row r="597" spans="16:16" x14ac:dyDescent="0.2">
      <c r="P597" s="49"/>
    </row>
    <row r="598" spans="16:16" x14ac:dyDescent="0.2">
      <c r="P598" s="49"/>
    </row>
    <row r="599" spans="16:16" x14ac:dyDescent="0.2">
      <c r="P599" s="49"/>
    </row>
    <row r="600" spans="16:16" x14ac:dyDescent="0.2">
      <c r="P600" s="49"/>
    </row>
    <row r="601" spans="16:16" x14ac:dyDescent="0.2">
      <c r="P601" s="49"/>
    </row>
    <row r="602" spans="16:16" x14ac:dyDescent="0.2">
      <c r="P602" s="49"/>
    </row>
    <row r="603" spans="16:16" x14ac:dyDescent="0.2">
      <c r="P603" s="49"/>
    </row>
    <row r="604" spans="16:16" x14ac:dyDescent="0.2">
      <c r="P604" s="49"/>
    </row>
    <row r="605" spans="16:16" x14ac:dyDescent="0.2">
      <c r="P605" s="49"/>
    </row>
    <row r="606" spans="16:16" x14ac:dyDescent="0.2">
      <c r="P606" s="49"/>
    </row>
    <row r="607" spans="16:16" x14ac:dyDescent="0.2">
      <c r="P607" s="49"/>
    </row>
    <row r="608" spans="16:16" x14ac:dyDescent="0.2">
      <c r="P608" s="49"/>
    </row>
    <row r="609" spans="16:16" x14ac:dyDescent="0.2">
      <c r="P609" s="49"/>
    </row>
    <row r="610" spans="16:16" x14ac:dyDescent="0.2">
      <c r="P610" s="49"/>
    </row>
    <row r="611" spans="16:16" x14ac:dyDescent="0.2">
      <c r="P611" s="49"/>
    </row>
    <row r="612" spans="16:16" x14ac:dyDescent="0.2">
      <c r="P612" s="49"/>
    </row>
    <row r="613" spans="16:16" x14ac:dyDescent="0.2">
      <c r="P613" s="49"/>
    </row>
    <row r="614" spans="16:16" x14ac:dyDescent="0.2">
      <c r="P614" s="49"/>
    </row>
    <row r="615" spans="16:16" x14ac:dyDescent="0.2">
      <c r="P615" s="49"/>
    </row>
    <row r="616" spans="16:16" x14ac:dyDescent="0.2">
      <c r="P616" s="49"/>
    </row>
    <row r="617" spans="16:16" x14ac:dyDescent="0.2">
      <c r="P617" s="49"/>
    </row>
    <row r="618" spans="16:16" x14ac:dyDescent="0.2">
      <c r="P618" s="49"/>
    </row>
    <row r="619" spans="16:16" x14ac:dyDescent="0.2">
      <c r="P619" s="49"/>
    </row>
    <row r="620" spans="16:16" x14ac:dyDescent="0.2">
      <c r="P620" s="49"/>
    </row>
    <row r="621" spans="16:16" x14ac:dyDescent="0.2">
      <c r="P621" s="49"/>
    </row>
    <row r="622" spans="16:16" x14ac:dyDescent="0.2">
      <c r="P622" s="49"/>
    </row>
    <row r="623" spans="16:16" x14ac:dyDescent="0.2">
      <c r="P623" s="49"/>
    </row>
    <row r="624" spans="16:16" x14ac:dyDescent="0.2">
      <c r="P624" s="49"/>
    </row>
    <row r="625" spans="16:16" x14ac:dyDescent="0.2">
      <c r="P625" s="49"/>
    </row>
    <row r="626" spans="16:16" x14ac:dyDescent="0.2">
      <c r="P626" s="49"/>
    </row>
    <row r="627" spans="16:16" x14ac:dyDescent="0.2">
      <c r="P627" s="49"/>
    </row>
    <row r="628" spans="16:16" x14ac:dyDescent="0.2">
      <c r="P628" s="49"/>
    </row>
    <row r="629" spans="16:16" x14ac:dyDescent="0.2">
      <c r="P629" s="49"/>
    </row>
    <row r="630" spans="16:16" x14ac:dyDescent="0.2">
      <c r="P630" s="49"/>
    </row>
    <row r="631" spans="16:16" x14ac:dyDescent="0.2">
      <c r="P631" s="49"/>
    </row>
    <row r="632" spans="16:16" x14ac:dyDescent="0.2">
      <c r="P632" s="49"/>
    </row>
    <row r="633" spans="16:16" x14ac:dyDescent="0.2">
      <c r="P633" s="49"/>
    </row>
    <row r="634" spans="16:16" x14ac:dyDescent="0.2">
      <c r="P634" s="49"/>
    </row>
    <row r="635" spans="16:16" x14ac:dyDescent="0.2">
      <c r="P635" s="49"/>
    </row>
    <row r="636" spans="16:16" x14ac:dyDescent="0.2">
      <c r="P636" s="49"/>
    </row>
    <row r="637" spans="16:16" x14ac:dyDescent="0.2">
      <c r="P637" s="49"/>
    </row>
    <row r="638" spans="16:16" x14ac:dyDescent="0.2">
      <c r="P638" s="49"/>
    </row>
    <row r="639" spans="16:16" x14ac:dyDescent="0.2">
      <c r="P639" s="49"/>
    </row>
    <row r="640" spans="16:16" x14ac:dyDescent="0.2">
      <c r="P640" s="49"/>
    </row>
    <row r="641" spans="16:16" x14ac:dyDescent="0.2">
      <c r="P641" s="49"/>
    </row>
    <row r="642" spans="16:16" x14ac:dyDescent="0.2">
      <c r="P642" s="49"/>
    </row>
    <row r="643" spans="16:16" x14ac:dyDescent="0.2">
      <c r="P643" s="49"/>
    </row>
    <row r="644" spans="16:16" x14ac:dyDescent="0.2">
      <c r="P644" s="49"/>
    </row>
    <row r="645" spans="16:16" x14ac:dyDescent="0.2">
      <c r="P645" s="49"/>
    </row>
    <row r="646" spans="16:16" x14ac:dyDescent="0.2">
      <c r="P646" s="49"/>
    </row>
    <row r="647" spans="16:16" x14ac:dyDescent="0.2">
      <c r="P647" s="49"/>
    </row>
    <row r="648" spans="16:16" x14ac:dyDescent="0.2">
      <c r="P648" s="49"/>
    </row>
    <row r="649" spans="16:16" x14ac:dyDescent="0.2">
      <c r="P649" s="49"/>
    </row>
    <row r="650" spans="16:16" x14ac:dyDescent="0.2">
      <c r="P650" s="49"/>
    </row>
    <row r="651" spans="16:16" x14ac:dyDescent="0.2">
      <c r="P651" s="49"/>
    </row>
    <row r="652" spans="16:16" x14ac:dyDescent="0.2">
      <c r="P652" s="49"/>
    </row>
    <row r="653" spans="16:16" x14ac:dyDescent="0.2">
      <c r="P653" s="49"/>
    </row>
    <row r="654" spans="16:16" x14ac:dyDescent="0.2">
      <c r="P654" s="49"/>
    </row>
    <row r="655" spans="16:16" x14ac:dyDescent="0.2">
      <c r="P655" s="49"/>
    </row>
    <row r="656" spans="16:16" x14ac:dyDescent="0.2">
      <c r="P656" s="49"/>
    </row>
    <row r="657" spans="16:16" x14ac:dyDescent="0.2">
      <c r="P657" s="49"/>
    </row>
    <row r="658" spans="16:16" x14ac:dyDescent="0.2">
      <c r="P658" s="49"/>
    </row>
    <row r="659" spans="16:16" x14ac:dyDescent="0.2">
      <c r="P659" s="49"/>
    </row>
    <row r="660" spans="16:16" x14ac:dyDescent="0.2">
      <c r="P660" s="49"/>
    </row>
    <row r="661" spans="16:16" x14ac:dyDescent="0.2">
      <c r="P661" s="49"/>
    </row>
    <row r="662" spans="16:16" x14ac:dyDescent="0.2">
      <c r="P662" s="49"/>
    </row>
    <row r="663" spans="16:16" x14ac:dyDescent="0.2">
      <c r="P663" s="49"/>
    </row>
    <row r="664" spans="16:16" x14ac:dyDescent="0.2">
      <c r="P664" s="49"/>
    </row>
    <row r="665" spans="16:16" x14ac:dyDescent="0.2">
      <c r="P665" s="49"/>
    </row>
    <row r="666" spans="16:16" x14ac:dyDescent="0.2">
      <c r="P666" s="49"/>
    </row>
    <row r="667" spans="16:16" x14ac:dyDescent="0.2">
      <c r="P667" s="49"/>
    </row>
    <row r="668" spans="16:16" x14ac:dyDescent="0.2">
      <c r="P668" s="49"/>
    </row>
    <row r="669" spans="16:16" x14ac:dyDescent="0.2">
      <c r="P669" s="49"/>
    </row>
    <row r="670" spans="16:16" x14ac:dyDescent="0.2">
      <c r="P670" s="49"/>
    </row>
    <row r="671" spans="16:16" x14ac:dyDescent="0.2">
      <c r="P671" s="49"/>
    </row>
    <row r="672" spans="16:16" x14ac:dyDescent="0.2">
      <c r="P672" s="49"/>
    </row>
    <row r="673" spans="16:16" x14ac:dyDescent="0.2">
      <c r="P673" s="49"/>
    </row>
    <row r="674" spans="16:16" x14ac:dyDescent="0.2">
      <c r="P674" s="49"/>
    </row>
    <row r="675" spans="16:16" x14ac:dyDescent="0.2">
      <c r="P675" s="49"/>
    </row>
    <row r="676" spans="16:16" x14ac:dyDescent="0.2">
      <c r="P676" s="49"/>
    </row>
    <row r="677" spans="16:16" x14ac:dyDescent="0.2">
      <c r="P677" s="49"/>
    </row>
    <row r="678" spans="16:16" x14ac:dyDescent="0.2">
      <c r="P678" s="49"/>
    </row>
    <row r="679" spans="16:16" x14ac:dyDescent="0.2">
      <c r="P679" s="49"/>
    </row>
    <row r="680" spans="16:16" x14ac:dyDescent="0.2">
      <c r="P680" s="49"/>
    </row>
    <row r="681" spans="16:16" x14ac:dyDescent="0.2">
      <c r="P681" s="49"/>
    </row>
    <row r="682" spans="16:16" x14ac:dyDescent="0.2">
      <c r="P682" s="49"/>
    </row>
    <row r="683" spans="16:16" x14ac:dyDescent="0.2">
      <c r="P683" s="49"/>
    </row>
    <row r="684" spans="16:16" x14ac:dyDescent="0.2">
      <c r="P684" s="49"/>
    </row>
    <row r="685" spans="16:16" x14ac:dyDescent="0.2">
      <c r="P685" s="49"/>
    </row>
    <row r="686" spans="16:16" x14ac:dyDescent="0.2">
      <c r="P686" s="49"/>
    </row>
    <row r="687" spans="16:16" x14ac:dyDescent="0.2">
      <c r="P687" s="49"/>
    </row>
    <row r="688" spans="16:16" x14ac:dyDescent="0.2">
      <c r="P688" s="49"/>
    </row>
    <row r="689" spans="16:16" x14ac:dyDescent="0.2">
      <c r="P689" s="49"/>
    </row>
    <row r="690" spans="16:16" x14ac:dyDescent="0.2">
      <c r="P690" s="49"/>
    </row>
    <row r="691" spans="16:16" x14ac:dyDescent="0.2">
      <c r="P691" s="49"/>
    </row>
    <row r="692" spans="16:16" x14ac:dyDescent="0.2">
      <c r="P692" s="49"/>
    </row>
    <row r="693" spans="16:16" x14ac:dyDescent="0.2">
      <c r="P693" s="49"/>
    </row>
    <row r="694" spans="16:16" x14ac:dyDescent="0.2">
      <c r="P694" s="49"/>
    </row>
    <row r="695" spans="16:16" x14ac:dyDescent="0.2">
      <c r="P695" s="49"/>
    </row>
    <row r="696" spans="16:16" x14ac:dyDescent="0.2">
      <c r="P696" s="49"/>
    </row>
    <row r="697" spans="16:16" x14ac:dyDescent="0.2">
      <c r="P697" s="49"/>
    </row>
    <row r="698" spans="16:16" x14ac:dyDescent="0.2">
      <c r="P698" s="49"/>
    </row>
    <row r="699" spans="16:16" x14ac:dyDescent="0.2">
      <c r="P699" s="49"/>
    </row>
    <row r="700" spans="16:16" x14ac:dyDescent="0.2">
      <c r="P700" s="49"/>
    </row>
    <row r="701" spans="16:16" x14ac:dyDescent="0.2">
      <c r="P701" s="49"/>
    </row>
    <row r="702" spans="16:16" x14ac:dyDescent="0.2">
      <c r="P702" s="49"/>
    </row>
  </sheetData>
  <sortState ref="C14:D15">
    <sortCondition descending="1" ref="D14"/>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ColWidth="9.140625"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300" t="s">
        <v>154</v>
      </c>
      <c r="D3" s="300"/>
      <c r="E3" s="300"/>
      <c r="F3" s="300"/>
      <c r="G3" s="300"/>
      <c r="H3" s="300"/>
      <c r="I3" s="300"/>
      <c r="J3" s="300"/>
      <c r="K3" s="300"/>
      <c r="L3" s="300"/>
      <c r="M3" s="301"/>
    </row>
    <row r="4" spans="2:19" ht="15.75" x14ac:dyDescent="0.25">
      <c r="B4" s="93"/>
      <c r="C4" s="67" t="s">
        <v>430</v>
      </c>
      <c r="D4" s="29"/>
      <c r="E4" s="29"/>
      <c r="F4" s="5"/>
      <c r="G4" s="5"/>
      <c r="H4" s="5"/>
      <c r="I4" s="5"/>
      <c r="J4" s="5"/>
      <c r="K4" s="5"/>
      <c r="L4" s="5"/>
      <c r="M4" s="20"/>
    </row>
    <row r="5" spans="2:19" ht="20.25" customHeight="1" x14ac:dyDescent="0.25">
      <c r="B5" s="93"/>
      <c r="C5" s="211" t="s">
        <v>431</v>
      </c>
      <c r="D5" s="94" t="s">
        <v>407</v>
      </c>
      <c r="E5" s="19"/>
      <c r="F5" s="5"/>
      <c r="G5" s="5"/>
      <c r="H5" s="5"/>
      <c r="I5" s="5"/>
      <c r="J5" s="5"/>
      <c r="K5" s="5"/>
      <c r="L5" s="5"/>
      <c r="M5" s="20"/>
    </row>
    <row r="6" spans="2:19" x14ac:dyDescent="0.2">
      <c r="B6" s="93"/>
      <c r="C6" s="5"/>
      <c r="D6" s="5"/>
      <c r="E6" s="5"/>
      <c r="F6" s="5"/>
      <c r="G6" s="5"/>
      <c r="H6" s="5"/>
      <c r="I6" s="5"/>
      <c r="J6" s="5"/>
      <c r="K6" s="5"/>
      <c r="L6" s="5"/>
      <c r="M6" s="20"/>
    </row>
    <row r="7" spans="2:19" ht="32.25" customHeight="1" x14ac:dyDescent="0.2">
      <c r="B7" s="93"/>
      <c r="C7" s="95" t="s">
        <v>43</v>
      </c>
      <c r="D7" s="95" t="s">
        <v>45</v>
      </c>
      <c r="E7" s="5"/>
      <c r="F7" s="302" t="s">
        <v>50</v>
      </c>
      <c r="G7" s="302"/>
      <c r="H7" s="302"/>
      <c r="I7" s="302"/>
      <c r="J7" s="302"/>
      <c r="K7" s="302"/>
      <c r="L7" s="302"/>
      <c r="M7" s="303"/>
    </row>
    <row r="8" spans="2:19" x14ac:dyDescent="0.2">
      <c r="B8" s="93"/>
      <c r="C8" s="38" t="s">
        <v>175</v>
      </c>
      <c r="D8" s="190">
        <v>8.1095E-2</v>
      </c>
      <c r="E8" s="5"/>
      <c r="F8" s="5"/>
      <c r="G8" s="31"/>
      <c r="H8" s="5"/>
      <c r="I8" s="97" t="s">
        <v>51</v>
      </c>
      <c r="J8" s="98">
        <f>D11</f>
        <v>0.49838900000000008</v>
      </c>
      <c r="K8" s="5"/>
      <c r="L8" s="5"/>
      <c r="M8" s="20"/>
      <c r="S8" s="49"/>
    </row>
    <row r="9" spans="2:19" ht="15.75" customHeight="1" x14ac:dyDescent="0.2">
      <c r="B9" s="93"/>
      <c r="C9" s="4" t="s">
        <v>172</v>
      </c>
      <c r="D9" s="174">
        <v>0.28199600000000002</v>
      </c>
      <c r="E9" s="5"/>
      <c r="F9" s="5"/>
      <c r="G9" s="5"/>
      <c r="H9" s="5"/>
      <c r="I9" s="97" t="s">
        <v>53</v>
      </c>
      <c r="J9" s="99">
        <f>D17</f>
        <v>0.49207000000000001</v>
      </c>
      <c r="K9" s="5"/>
      <c r="L9" s="5"/>
      <c r="M9" s="20"/>
      <c r="S9" s="49"/>
    </row>
    <row r="10" spans="2:19" x14ac:dyDescent="0.2">
      <c r="B10" s="93"/>
      <c r="C10" s="4" t="s">
        <v>171</v>
      </c>
      <c r="D10" s="174">
        <v>0.135298</v>
      </c>
      <c r="E10" s="5"/>
      <c r="F10" s="5"/>
      <c r="G10" s="5"/>
      <c r="H10" s="5"/>
      <c r="I10" s="97" t="s">
        <v>20</v>
      </c>
      <c r="J10" s="99">
        <f>D19</f>
        <v>9.5409999999999991E-3</v>
      </c>
      <c r="K10" s="5"/>
      <c r="L10" s="5"/>
      <c r="M10" s="20"/>
      <c r="S10" s="49"/>
    </row>
    <row r="11" spans="2:19" ht="15.75" customHeight="1" x14ac:dyDescent="0.25">
      <c r="B11" s="93"/>
      <c r="C11" s="7" t="s">
        <v>52</v>
      </c>
      <c r="D11" s="8">
        <f>SUM(D8:D10)</f>
        <v>0.49838900000000008</v>
      </c>
      <c r="E11" s="5"/>
      <c r="F11" s="5"/>
      <c r="G11" s="5"/>
      <c r="H11" s="5"/>
      <c r="K11" s="5"/>
      <c r="L11" s="5"/>
      <c r="M11" s="20"/>
      <c r="S11" s="49"/>
    </row>
    <row r="12" spans="2:19" x14ac:dyDescent="0.2">
      <c r="B12" s="93"/>
      <c r="C12" s="38"/>
      <c r="D12" s="38"/>
      <c r="E12" s="5"/>
      <c r="F12" s="5"/>
      <c r="G12" s="5"/>
      <c r="H12" s="5"/>
      <c r="K12" s="5"/>
      <c r="L12" s="5"/>
      <c r="M12" s="20"/>
      <c r="S12" s="49"/>
    </row>
    <row r="13" spans="2:19" ht="15.75" customHeight="1" x14ac:dyDescent="0.2">
      <c r="B13" s="93"/>
      <c r="C13" s="4" t="s">
        <v>174</v>
      </c>
      <c r="D13" s="174">
        <v>0.40109400000000001</v>
      </c>
      <c r="E13" s="5"/>
      <c r="F13" s="5"/>
      <c r="G13" s="5"/>
      <c r="H13" s="5"/>
      <c r="I13" s="97"/>
      <c r="J13" s="97"/>
      <c r="K13" s="5"/>
      <c r="L13" s="5"/>
      <c r="M13" s="20"/>
      <c r="S13" s="49"/>
    </row>
    <row r="14" spans="2:19" x14ac:dyDescent="0.2">
      <c r="B14" s="93"/>
      <c r="C14" s="4" t="s">
        <v>173</v>
      </c>
      <c r="D14" s="174">
        <v>9.0976000000000001E-2</v>
      </c>
      <c r="E14" s="5"/>
      <c r="F14" s="5"/>
      <c r="G14" s="5"/>
      <c r="H14" s="5"/>
      <c r="I14" s="5"/>
      <c r="J14" s="5"/>
      <c r="K14" s="5"/>
      <c r="L14" s="5"/>
      <c r="M14" s="20"/>
      <c r="S14" s="49"/>
    </row>
    <row r="15" spans="2:19" x14ac:dyDescent="0.2">
      <c r="B15" s="93"/>
      <c r="C15" s="4"/>
      <c r="D15" s="174"/>
      <c r="E15" s="5"/>
      <c r="F15" s="5"/>
      <c r="G15" s="5"/>
      <c r="H15" s="5"/>
      <c r="I15" s="5"/>
      <c r="J15" s="5"/>
      <c r="K15" s="5"/>
      <c r="L15" s="5"/>
      <c r="M15" s="20"/>
      <c r="S15" s="49"/>
    </row>
    <row r="16" spans="2:19" x14ac:dyDescent="0.2">
      <c r="B16" s="93"/>
      <c r="C16" s="4"/>
      <c r="D16" s="6"/>
      <c r="E16" s="5"/>
      <c r="F16" s="5"/>
      <c r="G16" s="5"/>
      <c r="H16" s="5"/>
      <c r="I16" s="5"/>
      <c r="J16" s="5"/>
      <c r="K16" s="5"/>
      <c r="L16" s="5"/>
      <c r="M16" s="20"/>
      <c r="S16" s="49"/>
    </row>
    <row r="17" spans="2:19" ht="15.75" x14ac:dyDescent="0.25">
      <c r="B17" s="93"/>
      <c r="C17" s="7" t="s">
        <v>19</v>
      </c>
      <c r="D17" s="8">
        <f>SUM(D13:D16)</f>
        <v>0.49207000000000001</v>
      </c>
      <c r="E17" s="5"/>
      <c r="F17" s="5"/>
      <c r="G17" s="5"/>
      <c r="H17" s="5"/>
      <c r="I17" s="5"/>
      <c r="J17" s="5"/>
      <c r="K17" s="5"/>
      <c r="L17" s="5"/>
      <c r="M17" s="20"/>
      <c r="S17" s="49"/>
    </row>
    <row r="18" spans="2:19" x14ac:dyDescent="0.2">
      <c r="B18" s="93"/>
      <c r="C18" s="4"/>
      <c r="D18" s="6"/>
      <c r="E18" s="5"/>
      <c r="F18" s="5"/>
      <c r="G18" s="5"/>
      <c r="H18" s="5"/>
      <c r="I18" s="5"/>
      <c r="J18" s="5"/>
      <c r="K18" s="5"/>
      <c r="L18" s="5"/>
      <c r="M18" s="20"/>
      <c r="S18" s="49"/>
    </row>
    <row r="19" spans="2:19" ht="15.75" x14ac:dyDescent="0.25">
      <c r="B19" s="93"/>
      <c r="C19" s="7" t="s">
        <v>20</v>
      </c>
      <c r="D19" s="199">
        <v>9.5409999999999991E-3</v>
      </c>
      <c r="E19" s="5"/>
      <c r="F19" s="5"/>
      <c r="G19" s="5"/>
      <c r="H19" s="5"/>
      <c r="I19" s="5"/>
      <c r="J19" s="5"/>
      <c r="K19" s="5"/>
      <c r="L19" s="5"/>
      <c r="M19" s="20"/>
      <c r="S19" s="49"/>
    </row>
    <row r="20" spans="2:19" x14ac:dyDescent="0.2">
      <c r="B20" s="93"/>
      <c r="C20" s="4"/>
      <c r="D20" s="6"/>
      <c r="E20" s="5"/>
      <c r="F20" s="5"/>
      <c r="G20" s="5"/>
      <c r="H20" s="5"/>
      <c r="I20" s="5"/>
      <c r="J20" s="5"/>
      <c r="K20" s="5"/>
      <c r="L20" s="5"/>
      <c r="M20" s="20"/>
      <c r="S20" s="49"/>
    </row>
    <row r="21" spans="2:19" ht="15.75" x14ac:dyDescent="0.25">
      <c r="B21" s="93"/>
      <c r="C21" s="9" t="s">
        <v>54</v>
      </c>
      <c r="D21" s="10">
        <f>SUM(D19,D17,D11)</f>
        <v>1</v>
      </c>
      <c r="E21" s="5"/>
      <c r="F21" s="5"/>
      <c r="G21" s="5"/>
      <c r="H21" s="5"/>
      <c r="I21" s="5"/>
      <c r="J21" s="5"/>
      <c r="K21" s="5"/>
      <c r="L21" s="5"/>
      <c r="M21" s="20"/>
      <c r="S21" s="49"/>
    </row>
    <row r="22" spans="2:19" ht="15.75" customHeight="1" x14ac:dyDescent="0.2">
      <c r="B22" s="93"/>
      <c r="E22" s="5"/>
      <c r="F22" s="5"/>
      <c r="G22" s="5"/>
      <c r="H22" s="5"/>
      <c r="I22" s="5"/>
      <c r="J22" s="5"/>
      <c r="K22" s="5"/>
      <c r="L22" s="5"/>
      <c r="M22" s="20"/>
      <c r="S22" s="49"/>
    </row>
    <row r="23" spans="2:19" x14ac:dyDescent="0.2">
      <c r="B23" s="93"/>
      <c r="C23" s="33"/>
      <c r="D23" s="34"/>
      <c r="E23" s="5"/>
      <c r="F23" s="5"/>
      <c r="G23" s="5"/>
      <c r="H23" s="5"/>
      <c r="I23" s="5"/>
      <c r="J23" s="5"/>
      <c r="K23" s="5"/>
      <c r="L23" s="5"/>
      <c r="M23" s="20"/>
      <c r="S23" s="49"/>
    </row>
    <row r="24" spans="2:19" ht="15.75" x14ac:dyDescent="0.2">
      <c r="B24" s="93"/>
      <c r="C24" s="90"/>
      <c r="D24" s="90"/>
      <c r="E24" s="5"/>
      <c r="F24" s="31"/>
      <c r="G24" s="5"/>
      <c r="H24" s="5"/>
      <c r="I24" s="5"/>
      <c r="J24" s="5"/>
      <c r="K24" s="5"/>
      <c r="L24" s="5"/>
      <c r="M24" s="20"/>
      <c r="S24" s="49"/>
    </row>
    <row r="25" spans="2:19" ht="15.75" x14ac:dyDescent="0.2">
      <c r="B25" s="93"/>
      <c r="C25" s="90"/>
      <c r="D25" s="90"/>
      <c r="E25" s="5"/>
      <c r="F25" s="31"/>
      <c r="G25" s="5"/>
      <c r="H25" s="5"/>
      <c r="I25" s="5"/>
      <c r="J25" s="5"/>
      <c r="K25" s="5"/>
      <c r="L25" s="5"/>
      <c r="M25" s="20"/>
      <c r="S25" s="49"/>
    </row>
    <row r="26" spans="2:19" ht="16.5" thickBot="1" x14ac:dyDescent="0.3">
      <c r="B26" s="96"/>
      <c r="C26" s="100"/>
      <c r="D26" s="100"/>
      <c r="E26" s="100"/>
      <c r="F26" s="100"/>
      <c r="G26" s="100"/>
      <c r="H26" s="100"/>
      <c r="I26" s="100"/>
      <c r="J26" s="100"/>
      <c r="K26" s="100"/>
      <c r="L26" s="100"/>
      <c r="M26" s="101"/>
      <c r="S26" s="49"/>
    </row>
    <row r="27" spans="2:19" ht="15.75" thickBot="1" x14ac:dyDescent="0.25">
      <c r="S27" s="49"/>
    </row>
    <row r="28" spans="2:19" ht="15" customHeight="1" x14ac:dyDescent="0.2">
      <c r="B28" s="306" t="s">
        <v>177</v>
      </c>
      <c r="C28" s="307"/>
      <c r="D28" s="307"/>
      <c r="E28" s="307"/>
      <c r="F28" s="307"/>
      <c r="G28" s="307"/>
      <c r="H28" s="307"/>
      <c r="I28" s="307"/>
      <c r="J28" s="307"/>
      <c r="K28" s="307"/>
      <c r="L28" s="307"/>
      <c r="M28" s="307"/>
      <c r="N28" s="307"/>
      <c r="O28" s="307"/>
      <c r="P28" s="307"/>
      <c r="Q28" s="307"/>
      <c r="R28" s="308"/>
      <c r="S28" s="49"/>
    </row>
    <row r="29" spans="2:19" x14ac:dyDescent="0.2">
      <c r="B29" s="309"/>
      <c r="C29" s="310"/>
      <c r="D29" s="310"/>
      <c r="E29" s="310"/>
      <c r="F29" s="310"/>
      <c r="G29" s="310"/>
      <c r="H29" s="310"/>
      <c r="I29" s="310"/>
      <c r="J29" s="310"/>
      <c r="K29" s="310"/>
      <c r="L29" s="310"/>
      <c r="M29" s="310"/>
      <c r="N29" s="310"/>
      <c r="O29" s="310"/>
      <c r="P29" s="310"/>
      <c r="Q29" s="310"/>
      <c r="R29" s="311"/>
      <c r="S29" s="49"/>
    </row>
    <row r="30" spans="2:19" x14ac:dyDescent="0.2">
      <c r="B30" s="309"/>
      <c r="C30" s="310"/>
      <c r="D30" s="310"/>
      <c r="E30" s="310"/>
      <c r="F30" s="310"/>
      <c r="G30" s="310"/>
      <c r="H30" s="310"/>
      <c r="I30" s="310"/>
      <c r="J30" s="310"/>
      <c r="K30" s="310"/>
      <c r="L30" s="310"/>
      <c r="M30" s="310"/>
      <c r="N30" s="310"/>
      <c r="O30" s="310"/>
      <c r="P30" s="310"/>
      <c r="Q30" s="310"/>
      <c r="R30" s="311"/>
      <c r="S30" s="49"/>
    </row>
    <row r="31" spans="2:19" x14ac:dyDescent="0.2">
      <c r="B31" s="309"/>
      <c r="C31" s="310"/>
      <c r="D31" s="310"/>
      <c r="E31" s="310"/>
      <c r="F31" s="310"/>
      <c r="G31" s="310"/>
      <c r="H31" s="310"/>
      <c r="I31" s="310"/>
      <c r="J31" s="310"/>
      <c r="K31" s="310"/>
      <c r="L31" s="310"/>
      <c r="M31" s="310"/>
      <c r="N31" s="310"/>
      <c r="O31" s="310"/>
      <c r="P31" s="310"/>
      <c r="Q31" s="310"/>
      <c r="R31" s="311"/>
      <c r="S31" s="49"/>
    </row>
    <row r="32" spans="2:19" x14ac:dyDescent="0.2">
      <c r="B32" s="309"/>
      <c r="C32" s="310"/>
      <c r="D32" s="310"/>
      <c r="E32" s="310"/>
      <c r="F32" s="310"/>
      <c r="G32" s="310"/>
      <c r="H32" s="310"/>
      <c r="I32" s="310"/>
      <c r="J32" s="310"/>
      <c r="K32" s="310"/>
      <c r="L32" s="310"/>
      <c r="M32" s="310"/>
      <c r="N32" s="310"/>
      <c r="O32" s="310"/>
      <c r="P32" s="310"/>
      <c r="Q32" s="310"/>
      <c r="R32" s="311"/>
      <c r="S32" s="49"/>
    </row>
    <row r="33" spans="2:19" x14ac:dyDescent="0.2">
      <c r="B33" s="309"/>
      <c r="C33" s="310"/>
      <c r="D33" s="310"/>
      <c r="E33" s="310"/>
      <c r="F33" s="310"/>
      <c r="G33" s="310"/>
      <c r="H33" s="310"/>
      <c r="I33" s="310"/>
      <c r="J33" s="310"/>
      <c r="K33" s="310"/>
      <c r="L33" s="310"/>
      <c r="M33" s="310"/>
      <c r="N33" s="310"/>
      <c r="O33" s="310"/>
      <c r="P33" s="310"/>
      <c r="Q33" s="310"/>
      <c r="R33" s="311"/>
      <c r="S33" s="49"/>
    </row>
    <row r="34" spans="2:19" ht="15.75" thickBot="1" x14ac:dyDescent="0.25">
      <c r="B34" s="312"/>
      <c r="C34" s="313"/>
      <c r="D34" s="313"/>
      <c r="E34" s="313"/>
      <c r="F34" s="313"/>
      <c r="G34" s="313"/>
      <c r="H34" s="313"/>
      <c r="I34" s="313"/>
      <c r="J34" s="313"/>
      <c r="K34" s="313"/>
      <c r="L34" s="313"/>
      <c r="M34" s="313"/>
      <c r="N34" s="313"/>
      <c r="O34" s="313"/>
      <c r="P34" s="313"/>
      <c r="Q34" s="313"/>
      <c r="R34" s="314"/>
      <c r="S34" s="49"/>
    </row>
    <row r="35" spans="2:19" x14ac:dyDescent="0.2">
      <c r="S35" s="49"/>
    </row>
    <row r="36" spans="2:19" x14ac:dyDescent="0.2">
      <c r="C36" s="223"/>
      <c r="D36" s="222"/>
      <c r="S36" s="49"/>
    </row>
    <row r="37" spans="2:19" x14ac:dyDescent="0.2">
      <c r="C37" s="223"/>
      <c r="D37" s="222"/>
      <c r="S37" s="49"/>
    </row>
    <row r="38" spans="2:19" x14ac:dyDescent="0.2">
      <c r="C38" s="223"/>
      <c r="D38" s="222"/>
      <c r="S38" s="49"/>
    </row>
    <row r="39" spans="2:19" x14ac:dyDescent="0.2">
      <c r="C39" s="223"/>
      <c r="D39" s="222"/>
      <c r="S39" s="49"/>
    </row>
    <row r="40" spans="2:19" x14ac:dyDescent="0.2">
      <c r="C40" s="223"/>
      <c r="D40" s="222"/>
      <c r="S40" s="49"/>
    </row>
    <row r="41" spans="2:19" x14ac:dyDescent="0.2">
      <c r="C41" s="223"/>
      <c r="D41" s="222"/>
      <c r="S41" s="49"/>
    </row>
    <row r="42" spans="2:19" x14ac:dyDescent="0.2">
      <c r="C42" s="223"/>
      <c r="D42" s="22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row r="701" spans="19:19" x14ac:dyDescent="0.2">
      <c r="S701" s="49"/>
    </row>
    <row r="702" spans="19:19" x14ac:dyDescent="0.2">
      <c r="S702" s="49"/>
    </row>
    <row r="703" spans="19:19" x14ac:dyDescent="0.2">
      <c r="S703" s="49"/>
    </row>
    <row r="704" spans="19:19" x14ac:dyDescent="0.2">
      <c r="S704" s="49"/>
    </row>
  </sheetData>
  <sortState ref="C9:D10">
    <sortCondition descending="1" ref="D8"/>
  </sortState>
  <mergeCells count="3">
    <mergeCell ref="C3:M3"/>
    <mergeCell ref="F7:M7"/>
    <mergeCell ref="B28:R34"/>
  </mergeCells>
  <pageMargins left="0.7" right="0.7" top="0.75" bottom="0.75" header="0.3" footer="0.3"/>
  <pageSetup paperSize="9" scale="1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ColWidth="9.140625"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300" t="s">
        <v>170</v>
      </c>
      <c r="D3" s="300"/>
      <c r="E3" s="300"/>
      <c r="F3" s="300"/>
      <c r="G3" s="300"/>
      <c r="H3" s="300"/>
      <c r="I3" s="300"/>
      <c r="J3" s="300"/>
      <c r="K3" s="300"/>
      <c r="L3" s="300"/>
      <c r="M3" s="301"/>
    </row>
    <row r="4" spans="2:19" ht="15.75" x14ac:dyDescent="0.25">
      <c r="B4" s="93"/>
      <c r="C4" s="67" t="s">
        <v>430</v>
      </c>
      <c r="D4" s="29"/>
      <c r="E4" s="29"/>
      <c r="F4" s="5"/>
      <c r="G4" s="5"/>
      <c r="H4" s="5"/>
      <c r="I4" s="5"/>
      <c r="J4" s="5"/>
      <c r="K4" s="5"/>
      <c r="L4" s="5"/>
      <c r="M4" s="20"/>
    </row>
    <row r="5" spans="2:19" ht="20.25" customHeight="1" x14ac:dyDescent="0.25">
      <c r="B5" s="93"/>
      <c r="C5" s="211" t="s">
        <v>431</v>
      </c>
      <c r="D5" s="94" t="s">
        <v>408</v>
      </c>
      <c r="E5" s="19"/>
      <c r="F5" s="5"/>
      <c r="G5" s="5"/>
      <c r="H5" s="5"/>
      <c r="I5" s="5"/>
      <c r="J5" s="5"/>
      <c r="K5" s="5"/>
      <c r="L5" s="5"/>
      <c r="M5" s="20"/>
    </row>
    <row r="6" spans="2:19" x14ac:dyDescent="0.2">
      <c r="B6" s="93"/>
      <c r="C6" s="5"/>
      <c r="D6" s="5"/>
      <c r="E6" s="5"/>
      <c r="F6" s="5"/>
      <c r="G6" s="5"/>
      <c r="H6" s="5"/>
      <c r="I6" s="5"/>
      <c r="J6" s="5"/>
      <c r="K6" s="5"/>
      <c r="L6" s="5"/>
      <c r="M6" s="20"/>
    </row>
    <row r="7" spans="2:19" ht="15.75" x14ac:dyDescent="0.2">
      <c r="B7" s="93"/>
      <c r="C7" s="95" t="s">
        <v>43</v>
      </c>
      <c r="D7" s="95" t="s">
        <v>45</v>
      </c>
      <c r="E7" s="5"/>
      <c r="F7" s="302" t="s">
        <v>50</v>
      </c>
      <c r="G7" s="302"/>
      <c r="H7" s="302"/>
      <c r="I7" s="302"/>
      <c r="J7" s="302"/>
      <c r="K7" s="302"/>
      <c r="L7" s="302"/>
      <c r="M7" s="303"/>
    </row>
    <row r="8" spans="2:19" x14ac:dyDescent="0.2">
      <c r="B8" s="93"/>
      <c r="C8" s="38" t="s">
        <v>175</v>
      </c>
      <c r="D8" s="189">
        <v>7.8247999999999998E-2</v>
      </c>
      <c r="E8" s="5"/>
      <c r="F8" s="5"/>
      <c r="G8" s="31"/>
      <c r="H8" s="5"/>
      <c r="I8" s="5" t="s">
        <v>51</v>
      </c>
      <c r="J8" s="47">
        <f>D11</f>
        <v>0.735039</v>
      </c>
      <c r="K8" s="5"/>
      <c r="L8" s="5"/>
      <c r="M8" s="20"/>
      <c r="S8" s="49"/>
    </row>
    <row r="9" spans="2:19" ht="15.75" customHeight="1" x14ac:dyDescent="0.2">
      <c r="B9" s="93"/>
      <c r="C9" s="4" t="s">
        <v>171</v>
      </c>
      <c r="D9" s="174">
        <v>0.311643</v>
      </c>
      <c r="E9" s="5"/>
      <c r="F9" s="5"/>
      <c r="G9" s="5"/>
      <c r="H9" s="5"/>
      <c r="I9" s="5" t="s">
        <v>53</v>
      </c>
      <c r="J9" s="47">
        <f>D14</f>
        <v>0.24126</v>
      </c>
      <c r="K9" s="5"/>
      <c r="L9" s="5"/>
      <c r="M9" s="20"/>
      <c r="S9" s="49"/>
    </row>
    <row r="10" spans="2:19" x14ac:dyDescent="0.2">
      <c r="B10" s="93"/>
      <c r="C10" s="4" t="s">
        <v>172</v>
      </c>
      <c r="D10" s="174">
        <v>0.34514800000000001</v>
      </c>
      <c r="E10" s="5"/>
      <c r="F10" s="5"/>
      <c r="G10" s="5"/>
      <c r="H10" s="5"/>
      <c r="I10" s="5" t="s">
        <v>20</v>
      </c>
      <c r="J10" s="47">
        <f>D16</f>
        <v>2.3701E-2</v>
      </c>
      <c r="K10" s="5"/>
      <c r="L10" s="5"/>
      <c r="M10" s="20"/>
      <c r="S10" s="49"/>
    </row>
    <row r="11" spans="2:19" ht="15.75" x14ac:dyDescent="0.25">
      <c r="B11" s="93"/>
      <c r="C11" s="7" t="s">
        <v>52</v>
      </c>
      <c r="D11" s="8">
        <f>SUM(D8:D10)</f>
        <v>0.735039</v>
      </c>
      <c r="E11" s="5"/>
      <c r="F11" s="5"/>
      <c r="G11" s="5"/>
      <c r="H11" s="5"/>
      <c r="K11" s="5"/>
      <c r="L11" s="5"/>
      <c r="M11" s="20"/>
      <c r="S11" s="49"/>
    </row>
    <row r="12" spans="2:19" x14ac:dyDescent="0.2">
      <c r="B12" s="93"/>
      <c r="C12" s="4"/>
      <c r="D12" s="6"/>
      <c r="E12" s="5"/>
      <c r="F12" s="5"/>
      <c r="G12" s="5"/>
      <c r="H12" s="5"/>
      <c r="I12" s="5"/>
      <c r="J12" s="5"/>
      <c r="K12" s="5"/>
      <c r="L12" s="5"/>
      <c r="M12" s="20"/>
      <c r="S12" s="49"/>
    </row>
    <row r="13" spans="2:19" x14ac:dyDescent="0.2">
      <c r="B13" s="93"/>
      <c r="C13" s="4" t="s">
        <v>174</v>
      </c>
      <c r="D13" s="174">
        <v>0.24126</v>
      </c>
      <c r="E13" s="5"/>
      <c r="F13" s="5"/>
      <c r="G13" s="5"/>
      <c r="H13" s="5"/>
      <c r="I13" s="5"/>
      <c r="J13" s="5"/>
      <c r="K13" s="5"/>
      <c r="L13" s="5"/>
      <c r="M13" s="20"/>
      <c r="S13" s="49"/>
    </row>
    <row r="14" spans="2:19" ht="15.75" x14ac:dyDescent="0.25">
      <c r="B14" s="93"/>
      <c r="C14" s="7" t="s">
        <v>19</v>
      </c>
      <c r="D14" s="8">
        <v>0.24126</v>
      </c>
      <c r="E14" s="5"/>
      <c r="F14" s="5"/>
      <c r="G14" s="5"/>
      <c r="H14" s="5"/>
      <c r="I14" s="5"/>
      <c r="J14" s="5"/>
      <c r="K14" s="5"/>
      <c r="L14" s="5"/>
      <c r="M14" s="20"/>
      <c r="S14" s="49"/>
    </row>
    <row r="15" spans="2:19" x14ac:dyDescent="0.2">
      <c r="B15" s="93"/>
      <c r="C15" s="4"/>
      <c r="D15" s="6"/>
      <c r="E15" s="5"/>
      <c r="F15" s="5"/>
      <c r="G15" s="5"/>
      <c r="H15" s="5"/>
      <c r="I15" s="5"/>
      <c r="J15" s="5"/>
      <c r="K15" s="5"/>
      <c r="L15" s="5"/>
      <c r="M15" s="20"/>
      <c r="S15" s="49"/>
    </row>
    <row r="16" spans="2:19" ht="15.75" x14ac:dyDescent="0.25">
      <c r="B16" s="93"/>
      <c r="C16" s="7" t="s">
        <v>20</v>
      </c>
      <c r="D16" s="199">
        <v>2.3701E-2</v>
      </c>
      <c r="E16" s="5"/>
      <c r="F16" s="5"/>
      <c r="G16" s="5"/>
      <c r="H16" s="5"/>
      <c r="I16" s="5"/>
      <c r="J16" s="5"/>
      <c r="K16" s="5"/>
      <c r="L16" s="5"/>
      <c r="M16" s="20"/>
      <c r="S16" s="49"/>
    </row>
    <row r="17" spans="2:19" x14ac:dyDescent="0.2">
      <c r="B17" s="93"/>
      <c r="C17" s="4"/>
      <c r="D17" s="6"/>
      <c r="E17" s="5"/>
      <c r="F17" s="5"/>
      <c r="G17" s="5"/>
      <c r="H17" s="5"/>
      <c r="I17" s="5"/>
      <c r="J17" s="5"/>
      <c r="K17" s="5"/>
      <c r="L17" s="5"/>
      <c r="M17" s="20"/>
      <c r="S17" s="49"/>
    </row>
    <row r="18" spans="2:19" ht="15.75" x14ac:dyDescent="0.25">
      <c r="B18" s="93"/>
      <c r="C18" s="9" t="s">
        <v>54</v>
      </c>
      <c r="D18" s="10">
        <f>D16+D14+D11</f>
        <v>1</v>
      </c>
      <c r="E18" s="5"/>
      <c r="F18" s="5"/>
      <c r="G18" s="5"/>
      <c r="H18" s="5"/>
      <c r="I18" s="5"/>
      <c r="J18" s="5"/>
      <c r="K18" s="5"/>
      <c r="L18" s="5"/>
      <c r="M18" s="20"/>
      <c r="S18" s="49"/>
    </row>
    <row r="19" spans="2:19" x14ac:dyDescent="0.2">
      <c r="B19" s="93"/>
      <c r="E19" s="5"/>
      <c r="F19" s="5"/>
      <c r="G19" s="5"/>
      <c r="H19" s="5"/>
      <c r="I19" s="5"/>
      <c r="J19" s="5"/>
      <c r="K19" s="5"/>
      <c r="L19" s="5"/>
      <c r="M19" s="20"/>
      <c r="S19" s="49"/>
    </row>
    <row r="20" spans="2:19" x14ac:dyDescent="0.2">
      <c r="B20" s="93"/>
      <c r="E20" s="5"/>
      <c r="F20" s="5"/>
      <c r="G20" s="5"/>
      <c r="H20" s="5"/>
      <c r="I20" s="5"/>
      <c r="J20" s="5"/>
      <c r="K20" s="5"/>
      <c r="L20" s="5"/>
      <c r="M20" s="20"/>
      <c r="S20" s="49"/>
    </row>
    <row r="21" spans="2:19" x14ac:dyDescent="0.2">
      <c r="B21" s="93"/>
      <c r="E21" s="5"/>
      <c r="F21" s="5"/>
      <c r="G21" s="5"/>
      <c r="H21" s="5"/>
      <c r="I21" s="5"/>
      <c r="J21" s="5"/>
      <c r="K21" s="5"/>
      <c r="L21" s="5"/>
      <c r="M21" s="20"/>
      <c r="S21" s="49"/>
    </row>
    <row r="22" spans="2:19" ht="16.5" thickBot="1" x14ac:dyDescent="0.3">
      <c r="B22" s="96"/>
      <c r="C22" s="304"/>
      <c r="D22" s="304"/>
      <c r="E22" s="304"/>
      <c r="F22" s="304"/>
      <c r="G22" s="304"/>
      <c r="H22" s="304"/>
      <c r="I22" s="304"/>
      <c r="J22" s="304"/>
      <c r="K22" s="304"/>
      <c r="L22" s="304"/>
      <c r="M22" s="305"/>
      <c r="S22" s="49"/>
    </row>
    <row r="23" spans="2:19" ht="15.75" thickBot="1" x14ac:dyDescent="0.25">
      <c r="S23" s="49"/>
    </row>
    <row r="24" spans="2:19" ht="15" customHeight="1" x14ac:dyDescent="0.2">
      <c r="B24" s="306" t="s">
        <v>177</v>
      </c>
      <c r="C24" s="307"/>
      <c r="D24" s="307"/>
      <c r="E24" s="307"/>
      <c r="F24" s="307"/>
      <c r="G24" s="307"/>
      <c r="H24" s="307"/>
      <c r="I24" s="307"/>
      <c r="J24" s="307"/>
      <c r="K24" s="307"/>
      <c r="L24" s="307"/>
      <c r="M24" s="307"/>
      <c r="N24" s="307"/>
      <c r="O24" s="307"/>
      <c r="P24" s="307"/>
      <c r="Q24" s="307"/>
      <c r="R24" s="308"/>
      <c r="S24" s="49"/>
    </row>
    <row r="25" spans="2:19" x14ac:dyDescent="0.2">
      <c r="B25" s="309"/>
      <c r="C25" s="310"/>
      <c r="D25" s="310"/>
      <c r="E25" s="310"/>
      <c r="F25" s="310"/>
      <c r="G25" s="310"/>
      <c r="H25" s="310"/>
      <c r="I25" s="310"/>
      <c r="J25" s="310"/>
      <c r="K25" s="310"/>
      <c r="L25" s="310"/>
      <c r="M25" s="310"/>
      <c r="N25" s="310"/>
      <c r="O25" s="310"/>
      <c r="P25" s="310"/>
      <c r="Q25" s="310"/>
      <c r="R25" s="311"/>
      <c r="S25" s="49"/>
    </row>
    <row r="26" spans="2:19" x14ac:dyDescent="0.2">
      <c r="B26" s="309"/>
      <c r="C26" s="310"/>
      <c r="D26" s="310"/>
      <c r="E26" s="310"/>
      <c r="F26" s="310"/>
      <c r="G26" s="310"/>
      <c r="H26" s="310"/>
      <c r="I26" s="310"/>
      <c r="J26" s="310"/>
      <c r="K26" s="310"/>
      <c r="L26" s="310"/>
      <c r="M26" s="310"/>
      <c r="N26" s="310"/>
      <c r="O26" s="310"/>
      <c r="P26" s="310"/>
      <c r="Q26" s="310"/>
      <c r="R26" s="311"/>
      <c r="S26" s="49"/>
    </row>
    <row r="27" spans="2:19" x14ac:dyDescent="0.2">
      <c r="B27" s="309"/>
      <c r="C27" s="310"/>
      <c r="D27" s="310"/>
      <c r="E27" s="310"/>
      <c r="F27" s="310"/>
      <c r="G27" s="310"/>
      <c r="H27" s="310"/>
      <c r="I27" s="310"/>
      <c r="J27" s="310"/>
      <c r="K27" s="310"/>
      <c r="L27" s="310"/>
      <c r="M27" s="310"/>
      <c r="N27" s="310"/>
      <c r="O27" s="310"/>
      <c r="P27" s="310"/>
      <c r="Q27" s="310"/>
      <c r="R27" s="311"/>
      <c r="S27" s="49"/>
    </row>
    <row r="28" spans="2:19" x14ac:dyDescent="0.2">
      <c r="B28" s="309"/>
      <c r="C28" s="310"/>
      <c r="D28" s="310"/>
      <c r="E28" s="310"/>
      <c r="F28" s="310"/>
      <c r="G28" s="310"/>
      <c r="H28" s="310"/>
      <c r="I28" s="310"/>
      <c r="J28" s="310"/>
      <c r="K28" s="310"/>
      <c r="L28" s="310"/>
      <c r="M28" s="310"/>
      <c r="N28" s="310"/>
      <c r="O28" s="310"/>
      <c r="P28" s="310"/>
      <c r="Q28" s="310"/>
      <c r="R28" s="311"/>
      <c r="S28" s="49"/>
    </row>
    <row r="29" spans="2:19" x14ac:dyDescent="0.2">
      <c r="B29" s="309"/>
      <c r="C29" s="310"/>
      <c r="D29" s="310"/>
      <c r="E29" s="310"/>
      <c r="F29" s="310"/>
      <c r="G29" s="310"/>
      <c r="H29" s="310"/>
      <c r="I29" s="310"/>
      <c r="J29" s="310"/>
      <c r="K29" s="310"/>
      <c r="L29" s="310"/>
      <c r="M29" s="310"/>
      <c r="N29" s="310"/>
      <c r="O29" s="310"/>
      <c r="P29" s="310"/>
      <c r="Q29" s="310"/>
      <c r="R29" s="311"/>
      <c r="S29" s="49"/>
    </row>
    <row r="30" spans="2:19" ht="15.75" thickBot="1" x14ac:dyDescent="0.25">
      <c r="B30" s="312"/>
      <c r="C30" s="313"/>
      <c r="D30" s="313"/>
      <c r="E30" s="313"/>
      <c r="F30" s="313"/>
      <c r="G30" s="313"/>
      <c r="H30" s="313"/>
      <c r="I30" s="313"/>
      <c r="J30" s="313"/>
      <c r="K30" s="313"/>
      <c r="L30" s="313"/>
      <c r="M30" s="313"/>
      <c r="N30" s="313"/>
      <c r="O30" s="313"/>
      <c r="P30" s="313"/>
      <c r="Q30" s="313"/>
      <c r="R30" s="314"/>
      <c r="S30" s="49"/>
    </row>
    <row r="31" spans="2:19" x14ac:dyDescent="0.2">
      <c r="S31" s="49"/>
    </row>
    <row r="32" spans="2:19" x14ac:dyDescent="0.2">
      <c r="C32" s="223"/>
      <c r="D32" s="222"/>
      <c r="S32" s="49"/>
    </row>
    <row r="33" spans="3:19" x14ac:dyDescent="0.2">
      <c r="C33" s="223"/>
      <c r="D33" s="222"/>
      <c r="S33" s="49"/>
    </row>
    <row r="34" spans="3:19" x14ac:dyDescent="0.2">
      <c r="C34" s="223"/>
      <c r="D34" s="222"/>
      <c r="S34" s="49"/>
    </row>
    <row r="35" spans="3:19" x14ac:dyDescent="0.2">
      <c r="C35" s="223"/>
      <c r="D35" s="222"/>
      <c r="S35" s="49"/>
    </row>
    <row r="36" spans="3:19" x14ac:dyDescent="0.2">
      <c r="C36" s="223"/>
      <c r="D36" s="222"/>
      <c r="S36" s="49"/>
    </row>
    <row r="37" spans="3:19" x14ac:dyDescent="0.2">
      <c r="D37" s="238"/>
      <c r="S37" s="49"/>
    </row>
    <row r="38" spans="3:19" x14ac:dyDescent="0.2">
      <c r="S38" s="49"/>
    </row>
    <row r="39" spans="3:19" x14ac:dyDescent="0.2">
      <c r="S39" s="49"/>
    </row>
    <row r="40" spans="3:19" x14ac:dyDescent="0.2">
      <c r="S40" s="49"/>
    </row>
    <row r="41" spans="3:19" x14ac:dyDescent="0.2">
      <c r="S41" s="49"/>
    </row>
    <row r="42" spans="3:19" x14ac:dyDescent="0.2">
      <c r="S42" s="49"/>
    </row>
    <row r="43" spans="3:19" x14ac:dyDescent="0.2">
      <c r="S43" s="49"/>
    </row>
    <row r="44" spans="3:19" x14ac:dyDescent="0.2">
      <c r="S44" s="49"/>
    </row>
    <row r="45" spans="3:19" x14ac:dyDescent="0.2">
      <c r="S45" s="49"/>
    </row>
    <row r="46" spans="3:19" x14ac:dyDescent="0.2">
      <c r="S46" s="49"/>
    </row>
    <row r="47" spans="3:19" x14ac:dyDescent="0.2">
      <c r="S47" s="49"/>
    </row>
    <row r="48" spans="3: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sheetData>
  <sortState ref="C8:D10">
    <sortCondition descending="1" ref="D8"/>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A930F-2305-4DF1-BC63-58EDED27F53E}">
  <dimension ref="B1:N43"/>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248"/>
      <c r="C2" s="249"/>
      <c r="D2" s="249"/>
      <c r="E2" s="249"/>
      <c r="F2" s="249"/>
      <c r="G2" s="249"/>
      <c r="H2" s="249"/>
      <c r="I2" s="249"/>
      <c r="J2" s="249"/>
      <c r="K2" s="249"/>
      <c r="L2" s="249"/>
      <c r="M2" s="249"/>
      <c r="N2" s="250"/>
    </row>
    <row r="3" spans="2:14" ht="20.25" customHeight="1" x14ac:dyDescent="0.25">
      <c r="B3" s="251"/>
      <c r="C3" s="335" t="s">
        <v>410</v>
      </c>
      <c r="D3" s="336"/>
      <c r="E3" s="336"/>
      <c r="F3" s="336"/>
      <c r="G3" s="336"/>
      <c r="H3" s="336"/>
      <c r="I3" s="336"/>
      <c r="J3" s="336"/>
      <c r="K3" s="336"/>
      <c r="L3" s="336"/>
      <c r="M3" s="336"/>
      <c r="N3" s="337"/>
    </row>
    <row r="4" spans="2:14" ht="15.75" customHeight="1" x14ac:dyDescent="0.25">
      <c r="B4" s="251"/>
      <c r="C4" s="276"/>
      <c r="D4" s="252"/>
      <c r="E4" s="252"/>
      <c r="F4" s="252"/>
      <c r="G4" s="252"/>
      <c r="H4" s="252"/>
      <c r="I4" s="252"/>
      <c r="J4" s="252"/>
      <c r="K4" s="252"/>
      <c r="L4" s="252"/>
      <c r="M4" s="252"/>
      <c r="N4" s="253"/>
    </row>
    <row r="5" spans="2:14" ht="18" customHeight="1" x14ac:dyDescent="0.25">
      <c r="B5" s="251"/>
      <c r="C5" s="211" t="s">
        <v>431</v>
      </c>
      <c r="D5" s="338" t="s">
        <v>409</v>
      </c>
      <c r="E5" s="339"/>
      <c r="F5" s="252"/>
      <c r="G5" s="252"/>
      <c r="H5" s="252"/>
      <c r="I5" s="252"/>
      <c r="J5" s="252"/>
      <c r="K5" s="252"/>
      <c r="L5" s="252"/>
      <c r="M5" s="252"/>
      <c r="N5" s="253"/>
    </row>
    <row r="6" spans="2:14" ht="15" customHeight="1" x14ac:dyDescent="0.25">
      <c r="B6" s="251"/>
      <c r="C6" s="252"/>
      <c r="D6" s="252"/>
      <c r="E6" s="252"/>
      <c r="F6" s="252"/>
      <c r="G6" s="252"/>
      <c r="H6" s="252"/>
      <c r="I6" s="252"/>
      <c r="J6" s="252"/>
      <c r="K6" s="252"/>
      <c r="L6" s="252"/>
      <c r="M6" s="252"/>
      <c r="N6" s="253"/>
    </row>
    <row r="7" spans="2:14" ht="32.25" customHeight="1" x14ac:dyDescent="0.25">
      <c r="B7" s="251"/>
      <c r="C7" s="254" t="s">
        <v>43</v>
      </c>
      <c r="D7" s="255" t="s">
        <v>323</v>
      </c>
      <c r="E7" s="256" t="s">
        <v>45</v>
      </c>
      <c r="F7" s="252"/>
      <c r="G7" s="340" t="s">
        <v>46</v>
      </c>
      <c r="H7" s="341"/>
      <c r="I7" s="341"/>
      <c r="J7" s="341"/>
      <c r="K7" s="341"/>
      <c r="L7" s="341"/>
      <c r="M7" s="341"/>
      <c r="N7" s="342"/>
    </row>
    <row r="8" spans="2:14" ht="15" customHeight="1" x14ac:dyDescent="0.25">
      <c r="B8" s="251"/>
      <c r="C8" s="257" t="s">
        <v>325</v>
      </c>
      <c r="D8" s="258"/>
      <c r="E8" s="259">
        <v>0.60509800000000002</v>
      </c>
      <c r="F8" s="252"/>
      <c r="G8" s="277" t="s">
        <v>324</v>
      </c>
      <c r="H8" s="278">
        <v>1</v>
      </c>
      <c r="I8" s="293"/>
      <c r="J8" s="298" t="s">
        <v>0</v>
      </c>
      <c r="K8" s="298" t="s">
        <v>45</v>
      </c>
      <c r="L8" s="298"/>
      <c r="M8" s="252"/>
      <c r="N8" s="253"/>
    </row>
    <row r="9" spans="2:14" ht="15" customHeight="1" x14ac:dyDescent="0.25">
      <c r="B9" s="251"/>
      <c r="C9" s="257" t="s">
        <v>340</v>
      </c>
      <c r="D9" s="258"/>
      <c r="E9" s="259">
        <v>0.38538800000000001</v>
      </c>
      <c r="F9" s="252"/>
      <c r="G9" s="252"/>
      <c r="H9" s="252"/>
      <c r="I9" s="293"/>
      <c r="J9" s="298" t="s">
        <v>20</v>
      </c>
      <c r="K9" s="299">
        <f>E14</f>
        <v>4.4999999999999999E-4</v>
      </c>
      <c r="L9" s="298"/>
      <c r="M9" s="252"/>
      <c r="N9" s="253"/>
    </row>
    <row r="10" spans="2:14" ht="15.75" customHeight="1" x14ac:dyDescent="0.25">
      <c r="B10" s="251"/>
      <c r="C10" s="260" t="s">
        <v>327</v>
      </c>
      <c r="D10" s="261"/>
      <c r="E10" s="262">
        <v>0.99048599999999998</v>
      </c>
      <c r="F10" s="252"/>
      <c r="G10" s="252"/>
      <c r="H10" s="252"/>
      <c r="I10" s="293"/>
      <c r="J10" s="298" t="s">
        <v>326</v>
      </c>
      <c r="K10" s="299">
        <f>E12</f>
        <v>9.0639999999999991E-3</v>
      </c>
      <c r="L10" s="298"/>
      <c r="M10" s="252"/>
      <c r="N10" s="253"/>
    </row>
    <row r="11" spans="2:14" ht="15" customHeight="1" x14ac:dyDescent="0.25">
      <c r="B11" s="251"/>
      <c r="C11" s="257" t="s">
        <v>98</v>
      </c>
      <c r="D11" s="258"/>
      <c r="E11" s="259">
        <v>9.0639999999999991E-3</v>
      </c>
      <c r="F11" s="252"/>
      <c r="G11" s="252"/>
      <c r="H11" s="252"/>
      <c r="I11" s="293"/>
      <c r="J11" s="298" t="s">
        <v>210</v>
      </c>
      <c r="K11" s="299">
        <f>E10</f>
        <v>0.99048599999999998</v>
      </c>
      <c r="L11" s="298"/>
      <c r="M11" s="252"/>
      <c r="N11" s="253"/>
    </row>
    <row r="12" spans="2:14" ht="15.75" customHeight="1" x14ac:dyDescent="0.25">
      <c r="B12" s="251"/>
      <c r="C12" s="260" t="s">
        <v>99</v>
      </c>
      <c r="D12" s="261"/>
      <c r="E12" s="262">
        <v>9.0639999999999991E-3</v>
      </c>
      <c r="F12" s="252"/>
      <c r="G12" s="252"/>
      <c r="H12" s="252"/>
      <c r="I12" s="293"/>
      <c r="J12" s="298"/>
      <c r="K12" s="298"/>
      <c r="L12" s="298"/>
      <c r="M12" s="252"/>
      <c r="N12" s="253"/>
    </row>
    <row r="13" spans="2:14" ht="15" customHeight="1" x14ac:dyDescent="0.25">
      <c r="B13" s="251"/>
      <c r="C13" s="257"/>
      <c r="D13" s="258"/>
      <c r="E13" s="259"/>
      <c r="F13" s="252"/>
      <c r="G13" s="252"/>
      <c r="H13" s="252"/>
      <c r="I13" s="293"/>
      <c r="J13" s="298"/>
      <c r="K13" s="298"/>
      <c r="L13" s="298"/>
      <c r="M13" s="252"/>
      <c r="N13" s="253"/>
    </row>
    <row r="14" spans="2:14" ht="15.75" customHeight="1" x14ac:dyDescent="0.25">
      <c r="B14" s="251"/>
      <c r="C14" s="260" t="s">
        <v>20</v>
      </c>
      <c r="D14" s="261"/>
      <c r="E14" s="262">
        <v>4.4999999999999999E-4</v>
      </c>
      <c r="F14" s="252"/>
      <c r="G14" s="252"/>
      <c r="H14" s="252"/>
      <c r="I14" s="293"/>
      <c r="J14" s="298"/>
      <c r="K14" s="298"/>
      <c r="L14" s="298"/>
      <c r="M14" s="252"/>
      <c r="N14" s="253"/>
    </row>
    <row r="15" spans="2:14" ht="15" customHeight="1" x14ac:dyDescent="0.25">
      <c r="B15" s="251"/>
      <c r="C15" s="257"/>
      <c r="D15" s="258"/>
      <c r="E15" s="259"/>
      <c r="F15" s="252"/>
      <c r="G15" s="252"/>
      <c r="H15" s="252"/>
      <c r="I15" s="293"/>
      <c r="J15" s="298"/>
      <c r="K15" s="298"/>
      <c r="L15" s="298"/>
      <c r="M15" s="252"/>
      <c r="N15" s="253"/>
    </row>
    <row r="16" spans="2:14" ht="15" customHeight="1" x14ac:dyDescent="0.25">
      <c r="B16" s="251"/>
      <c r="C16" s="263" t="s">
        <v>21</v>
      </c>
      <c r="D16" s="264"/>
      <c r="E16" s="265">
        <v>1</v>
      </c>
      <c r="F16" s="252"/>
      <c r="G16" s="252"/>
      <c r="H16" s="252"/>
      <c r="I16" s="293"/>
      <c r="J16" s="293"/>
      <c r="K16" s="293"/>
      <c r="L16" s="293"/>
      <c r="M16" s="252"/>
      <c r="N16" s="253"/>
    </row>
    <row r="17" spans="2:14" ht="15" customHeight="1" x14ac:dyDescent="0.25">
      <c r="B17" s="251"/>
      <c r="C17" s="252"/>
      <c r="D17" s="252"/>
      <c r="E17" s="252"/>
      <c r="F17" s="252"/>
      <c r="G17" s="252"/>
      <c r="H17" s="252"/>
      <c r="I17" s="293"/>
      <c r="J17" s="293"/>
      <c r="K17" s="293"/>
      <c r="L17" s="293"/>
      <c r="M17" s="252"/>
      <c r="N17" s="253"/>
    </row>
    <row r="18" spans="2:14" ht="15" customHeight="1" x14ac:dyDescent="0.25">
      <c r="B18" s="251"/>
      <c r="C18" s="252"/>
      <c r="D18" s="252"/>
      <c r="E18" s="252"/>
      <c r="F18" s="252"/>
      <c r="G18" s="252"/>
      <c r="H18" s="252"/>
      <c r="I18" s="252"/>
      <c r="J18" s="252"/>
      <c r="K18" s="252"/>
      <c r="L18" s="252"/>
      <c r="M18" s="252"/>
      <c r="N18" s="253"/>
    </row>
    <row r="19" spans="2:14" ht="15" customHeight="1" x14ac:dyDescent="0.25">
      <c r="B19" s="251"/>
      <c r="C19" s="252"/>
      <c r="D19" s="252"/>
      <c r="E19" s="252"/>
      <c r="F19" s="252"/>
      <c r="G19" s="252"/>
      <c r="H19" s="252"/>
      <c r="I19" s="252"/>
      <c r="J19" s="252"/>
      <c r="K19" s="252"/>
      <c r="L19" s="252"/>
      <c r="M19" s="252"/>
      <c r="N19" s="253"/>
    </row>
    <row r="20" spans="2:14" ht="15" customHeight="1" x14ac:dyDescent="0.25">
      <c r="B20" s="251"/>
      <c r="C20" s="252"/>
      <c r="D20" s="252"/>
      <c r="E20" s="252"/>
      <c r="F20" s="252"/>
      <c r="G20" s="252"/>
      <c r="H20" s="252"/>
      <c r="I20" s="252"/>
      <c r="J20" s="252"/>
      <c r="K20" s="252"/>
      <c r="L20" s="252"/>
      <c r="M20" s="252"/>
      <c r="N20" s="253"/>
    </row>
    <row r="21" spans="2:14" ht="15" customHeight="1" x14ac:dyDescent="0.25">
      <c r="B21" s="251"/>
      <c r="C21" s="252"/>
      <c r="D21" s="252"/>
      <c r="E21" s="252"/>
      <c r="F21" s="252"/>
      <c r="G21" s="252"/>
      <c r="H21" s="252"/>
      <c r="I21" s="252"/>
      <c r="J21" s="252"/>
      <c r="K21" s="252"/>
      <c r="L21" s="252"/>
      <c r="M21" s="252"/>
      <c r="N21" s="253"/>
    </row>
    <row r="22" spans="2:14" ht="15" customHeight="1" x14ac:dyDescent="0.25">
      <c r="B22" s="251"/>
      <c r="C22" s="252"/>
      <c r="D22" s="252"/>
      <c r="E22" s="252"/>
      <c r="F22" s="252"/>
      <c r="G22" s="252"/>
      <c r="H22" s="252"/>
      <c r="I22" s="252"/>
      <c r="J22" s="252"/>
      <c r="K22" s="252"/>
      <c r="L22" s="252"/>
      <c r="M22" s="252"/>
      <c r="N22" s="253"/>
    </row>
    <row r="23" spans="2:14" ht="15" customHeight="1" x14ac:dyDescent="0.25">
      <c r="B23" s="251"/>
      <c r="C23" s="252"/>
      <c r="D23" s="252"/>
      <c r="E23" s="252"/>
      <c r="F23" s="252"/>
      <c r="G23" s="252"/>
      <c r="H23" s="252"/>
      <c r="I23" s="252"/>
      <c r="J23" s="252"/>
      <c r="K23" s="252"/>
      <c r="L23" s="252"/>
      <c r="M23" s="252"/>
      <c r="N23" s="253"/>
    </row>
    <row r="24" spans="2:14" ht="15" customHeight="1" x14ac:dyDescent="0.25">
      <c r="B24" s="251"/>
      <c r="C24" s="252"/>
      <c r="D24" s="252"/>
      <c r="E24" s="252"/>
      <c r="F24" s="252"/>
      <c r="G24" s="340" t="s">
        <v>97</v>
      </c>
      <c r="H24" s="341"/>
      <c r="I24" s="341"/>
      <c r="J24" s="341"/>
      <c r="K24" s="341"/>
      <c r="L24" s="292"/>
      <c r="M24" s="266"/>
      <c r="N24" s="267"/>
    </row>
    <row r="25" spans="2:14" ht="15" customHeight="1" x14ac:dyDescent="0.25">
      <c r="B25" s="251"/>
      <c r="C25" s="252"/>
      <c r="D25" s="252"/>
      <c r="E25" s="252"/>
      <c r="F25" s="252"/>
      <c r="G25" s="252"/>
      <c r="H25" s="252"/>
      <c r="I25" s="252"/>
      <c r="J25" s="252"/>
      <c r="K25" s="252"/>
      <c r="L25" s="252"/>
      <c r="M25" s="252"/>
      <c r="N25" s="253"/>
    </row>
    <row r="26" spans="2:14" ht="15" customHeight="1" x14ac:dyDescent="0.25">
      <c r="B26" s="251"/>
      <c r="C26" s="252"/>
      <c r="D26" s="252"/>
      <c r="E26" s="252"/>
      <c r="F26" s="252"/>
      <c r="G26" s="340" t="s">
        <v>50</v>
      </c>
      <c r="H26" s="341"/>
      <c r="I26" s="341"/>
      <c r="J26" s="341"/>
      <c r="K26" s="341"/>
      <c r="L26" s="341"/>
      <c r="M26" s="341"/>
      <c r="N26" s="342"/>
    </row>
    <row r="27" spans="2:14" ht="15" customHeight="1" x14ac:dyDescent="0.25">
      <c r="B27" s="251"/>
      <c r="C27" s="252"/>
      <c r="D27" s="252"/>
      <c r="E27" s="252"/>
      <c r="F27" s="252"/>
      <c r="G27" s="252"/>
      <c r="H27" s="252"/>
      <c r="I27" s="252"/>
      <c r="J27" s="252"/>
      <c r="K27" s="252"/>
      <c r="L27" s="252"/>
      <c r="M27" s="252"/>
      <c r="N27" s="253"/>
    </row>
    <row r="28" spans="2:14" ht="15" customHeight="1" x14ac:dyDescent="0.25">
      <c r="B28" s="251"/>
      <c r="C28" s="252"/>
      <c r="D28" s="252"/>
      <c r="E28" s="252"/>
      <c r="F28" s="252"/>
      <c r="G28" s="252"/>
      <c r="H28" s="252"/>
      <c r="I28" s="252"/>
      <c r="J28" s="252"/>
      <c r="K28" s="252"/>
      <c r="L28" s="252"/>
      <c r="M28" s="252"/>
      <c r="N28" s="253"/>
    </row>
    <row r="29" spans="2:14" ht="15" customHeight="1" x14ac:dyDescent="0.25">
      <c r="B29" s="251"/>
      <c r="C29" s="252"/>
      <c r="D29" s="252"/>
      <c r="E29" s="252"/>
      <c r="F29" s="252"/>
      <c r="G29" s="252"/>
      <c r="H29" s="252"/>
      <c r="I29" s="252"/>
      <c r="J29" s="252"/>
      <c r="K29" s="252"/>
      <c r="L29" s="252"/>
      <c r="M29" s="252"/>
      <c r="N29" s="253"/>
    </row>
    <row r="30" spans="2:14" ht="15" customHeight="1" x14ac:dyDescent="0.25">
      <c r="B30" s="251"/>
      <c r="C30" s="252"/>
      <c r="D30" s="252"/>
      <c r="E30" s="252"/>
      <c r="F30" s="252"/>
      <c r="G30" s="252"/>
      <c r="H30" s="252"/>
      <c r="I30" s="252"/>
      <c r="J30" s="252"/>
      <c r="K30" s="252"/>
      <c r="L30" s="252"/>
      <c r="M30" s="252"/>
      <c r="N30" s="253"/>
    </row>
    <row r="31" spans="2:14" ht="15" customHeight="1" x14ac:dyDescent="0.25">
      <c r="B31" s="251"/>
      <c r="C31" s="252"/>
      <c r="D31" s="252"/>
      <c r="E31" s="252"/>
      <c r="F31" s="252"/>
      <c r="G31" s="252"/>
      <c r="H31" s="252"/>
      <c r="I31" s="252"/>
      <c r="J31" s="252"/>
      <c r="K31" s="252"/>
      <c r="L31" s="252"/>
      <c r="M31" s="252"/>
      <c r="N31" s="253"/>
    </row>
    <row r="32" spans="2:14" ht="15" customHeight="1" x14ac:dyDescent="0.25">
      <c r="B32" s="251"/>
      <c r="C32" s="252"/>
      <c r="D32" s="252"/>
      <c r="E32" s="252"/>
      <c r="F32" s="252"/>
      <c r="G32" s="252"/>
      <c r="H32" s="252"/>
      <c r="I32" s="252"/>
      <c r="J32" s="252"/>
      <c r="K32" s="252"/>
      <c r="L32" s="252"/>
      <c r="M32" s="252"/>
      <c r="N32" s="253"/>
    </row>
    <row r="33" spans="2:14" ht="15" customHeight="1" x14ac:dyDescent="0.25">
      <c r="B33" s="251"/>
      <c r="C33" s="252"/>
      <c r="D33" s="252"/>
      <c r="E33" s="252"/>
      <c r="F33" s="252"/>
      <c r="G33" s="252"/>
      <c r="H33" s="252"/>
      <c r="I33" s="252"/>
      <c r="J33" s="252"/>
      <c r="K33" s="252"/>
      <c r="L33" s="252"/>
      <c r="M33" s="252"/>
      <c r="N33" s="253"/>
    </row>
    <row r="34" spans="2:14" ht="15" customHeight="1" x14ac:dyDescent="0.25">
      <c r="B34" s="251"/>
      <c r="C34" s="252"/>
      <c r="D34" s="252"/>
      <c r="E34" s="252"/>
      <c r="F34" s="252"/>
      <c r="G34" s="252"/>
      <c r="H34" s="252"/>
      <c r="I34" s="252"/>
      <c r="J34" s="252"/>
      <c r="K34" s="252"/>
      <c r="L34" s="252"/>
      <c r="M34" s="252"/>
      <c r="N34" s="253"/>
    </row>
    <row r="35" spans="2:14" ht="15" customHeight="1" x14ac:dyDescent="0.25">
      <c r="B35" s="251"/>
      <c r="C35" s="252"/>
      <c r="D35" s="252"/>
      <c r="E35" s="252"/>
      <c r="F35" s="252"/>
      <c r="G35" s="252"/>
      <c r="H35" s="252"/>
      <c r="I35" s="252"/>
      <c r="J35" s="252"/>
      <c r="K35" s="252"/>
      <c r="L35" s="252"/>
      <c r="M35" s="252"/>
      <c r="N35" s="253"/>
    </row>
    <row r="36" spans="2:14" ht="15" customHeight="1" x14ac:dyDescent="0.25">
      <c r="B36" s="251"/>
      <c r="C36" s="252"/>
      <c r="D36" s="252"/>
      <c r="E36" s="252"/>
      <c r="F36" s="252"/>
      <c r="G36" s="252"/>
      <c r="H36" s="252"/>
      <c r="I36" s="252"/>
      <c r="J36" s="252"/>
      <c r="K36" s="252"/>
      <c r="L36" s="252"/>
      <c r="M36" s="252"/>
      <c r="N36" s="253"/>
    </row>
    <row r="37" spans="2:14" ht="15" customHeight="1" x14ac:dyDescent="0.25">
      <c r="B37" s="251"/>
      <c r="C37" s="252"/>
      <c r="D37" s="252"/>
      <c r="E37" s="252"/>
      <c r="F37" s="252"/>
      <c r="G37" s="252"/>
      <c r="H37" s="252"/>
      <c r="I37" s="252"/>
      <c r="J37" s="252"/>
      <c r="K37" s="252"/>
      <c r="L37" s="252"/>
      <c r="M37" s="252"/>
      <c r="N37" s="253"/>
    </row>
    <row r="38" spans="2:14" ht="15" customHeight="1" x14ac:dyDescent="0.25">
      <c r="B38" s="251"/>
      <c r="C38" s="252"/>
      <c r="D38" s="252"/>
      <c r="E38" s="252"/>
      <c r="F38" s="252"/>
      <c r="G38" s="252"/>
      <c r="H38" s="252"/>
      <c r="I38" s="252"/>
      <c r="J38" s="252"/>
      <c r="K38" s="252"/>
      <c r="L38" s="252"/>
      <c r="M38" s="252"/>
      <c r="N38" s="253"/>
    </row>
    <row r="39" spans="2:14" ht="15" customHeight="1" x14ac:dyDescent="0.25">
      <c r="B39" s="251"/>
      <c r="C39" s="252"/>
      <c r="D39" s="252"/>
      <c r="E39" s="252"/>
      <c r="F39" s="252"/>
      <c r="G39" s="252"/>
      <c r="H39" s="252"/>
      <c r="I39" s="252"/>
      <c r="J39" s="252"/>
      <c r="K39" s="252"/>
      <c r="L39" s="252"/>
      <c r="M39" s="252"/>
      <c r="N39" s="253"/>
    </row>
    <row r="40" spans="2:14" ht="15" customHeight="1" x14ac:dyDescent="0.25">
      <c r="B40" s="251"/>
      <c r="C40" s="252"/>
      <c r="D40" s="252"/>
      <c r="E40" s="252"/>
      <c r="F40" s="252"/>
      <c r="G40" s="252"/>
      <c r="H40" s="252"/>
      <c r="I40" s="252"/>
      <c r="J40" s="252"/>
      <c r="K40" s="252"/>
      <c r="L40" s="252"/>
      <c r="M40" s="252"/>
      <c r="N40" s="253"/>
    </row>
    <row r="41" spans="2:14" ht="15" customHeight="1" x14ac:dyDescent="0.25">
      <c r="B41" s="251"/>
      <c r="C41" s="252"/>
      <c r="D41" s="252"/>
      <c r="E41" s="252"/>
      <c r="F41" s="252"/>
      <c r="G41" s="252"/>
      <c r="H41" s="252"/>
      <c r="I41" s="252"/>
      <c r="J41" s="252"/>
      <c r="K41" s="252"/>
      <c r="L41" s="252"/>
      <c r="M41" s="252"/>
      <c r="N41" s="253"/>
    </row>
    <row r="42" spans="2:14" ht="15" customHeight="1" x14ac:dyDescent="0.25">
      <c r="B42" s="251"/>
      <c r="C42" s="252"/>
      <c r="D42" s="252"/>
      <c r="E42" s="252"/>
      <c r="F42" s="252"/>
      <c r="G42" s="252"/>
      <c r="H42" s="252"/>
      <c r="I42" s="252"/>
      <c r="J42" s="252"/>
      <c r="K42" s="252"/>
      <c r="L42" s="252"/>
      <c r="M42" s="252"/>
      <c r="N42" s="253"/>
    </row>
    <row r="43" spans="2:14" ht="15.75" thickBot="1" x14ac:dyDescent="0.3">
      <c r="B43" s="268"/>
      <c r="C43" s="269"/>
      <c r="D43" s="269"/>
      <c r="E43" s="269"/>
      <c r="F43" s="269"/>
      <c r="G43" s="269"/>
      <c r="H43" s="269"/>
      <c r="I43" s="269"/>
      <c r="J43" s="269"/>
      <c r="K43" s="269"/>
      <c r="L43" s="269"/>
      <c r="M43" s="269"/>
      <c r="N43" s="270"/>
    </row>
  </sheetData>
  <sortState ref="C8:E9">
    <sortCondition descending="1" ref="E8"/>
  </sortState>
  <mergeCells count="5">
    <mergeCell ref="C3:N3"/>
    <mergeCell ref="D5:E5"/>
    <mergeCell ref="G7:N7"/>
    <mergeCell ref="G24:K24"/>
    <mergeCell ref="G26:N2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5" t="s">
        <v>153</v>
      </c>
      <c r="D3" s="315"/>
      <c r="E3" s="315"/>
      <c r="F3" s="315"/>
      <c r="G3" s="315"/>
      <c r="H3" s="315"/>
      <c r="I3" s="315"/>
      <c r="J3" s="315"/>
      <c r="K3" s="315"/>
      <c r="L3" s="315"/>
      <c r="M3" s="315"/>
      <c r="N3" s="315"/>
      <c r="O3" s="315"/>
      <c r="P3" s="315"/>
      <c r="Q3" s="315"/>
      <c r="R3" s="315"/>
      <c r="S3" s="315"/>
      <c r="T3" s="22"/>
    </row>
    <row r="4" spans="1:24" ht="15.75" customHeight="1" x14ac:dyDescent="0.25">
      <c r="B4" s="79"/>
      <c r="C4" s="67" t="s">
        <v>430</v>
      </c>
      <c r="D4" s="29"/>
      <c r="E4" s="29"/>
      <c r="F4" s="29"/>
      <c r="G4" s="29"/>
      <c r="H4" s="29"/>
      <c r="I4" s="29"/>
      <c r="J4" s="29"/>
      <c r="K4" s="29"/>
      <c r="L4" s="29"/>
      <c r="M4" s="29"/>
      <c r="N4" s="29"/>
      <c r="O4" s="29"/>
      <c r="P4" s="29"/>
      <c r="Q4" s="29"/>
      <c r="R4" s="29"/>
      <c r="S4" s="29"/>
      <c r="T4" s="22"/>
    </row>
    <row r="5" spans="1:24" ht="18" customHeight="1" x14ac:dyDescent="0.25">
      <c r="B5" s="79"/>
      <c r="C5" s="211" t="s">
        <v>431</v>
      </c>
      <c r="D5" s="317" t="s">
        <v>411</v>
      </c>
      <c r="E5" s="317"/>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84" t="s">
        <v>29</v>
      </c>
      <c r="D8" s="185" t="s">
        <v>3</v>
      </c>
      <c r="E8" s="186">
        <v>0.13191900000000001</v>
      </c>
      <c r="F8" s="29"/>
      <c r="G8" s="29"/>
      <c r="H8" s="29"/>
      <c r="I8" s="29"/>
      <c r="J8" s="29"/>
      <c r="K8" s="29"/>
      <c r="L8" s="29"/>
      <c r="M8" s="29"/>
      <c r="N8" s="29"/>
      <c r="O8" s="29"/>
      <c r="P8" s="29"/>
      <c r="Q8" s="29"/>
      <c r="R8" s="29"/>
      <c r="S8" s="29"/>
      <c r="T8" s="22"/>
      <c r="W8" s="166" t="s">
        <v>3</v>
      </c>
      <c r="X8" s="167">
        <v>0.313106</v>
      </c>
    </row>
    <row r="9" spans="1:24" ht="15.75" customHeight="1" x14ac:dyDescent="0.25">
      <c r="B9" s="79"/>
      <c r="C9" s="180" t="s">
        <v>32</v>
      </c>
      <c r="D9" s="187" t="s">
        <v>3</v>
      </c>
      <c r="E9" s="188">
        <v>9.0989E-2</v>
      </c>
      <c r="F9" s="29"/>
      <c r="G9" s="29"/>
      <c r="H9" s="29"/>
      <c r="I9" s="29"/>
      <c r="J9" s="29"/>
      <c r="K9" s="29"/>
      <c r="L9" s="29"/>
      <c r="M9" s="29"/>
      <c r="N9" s="29"/>
      <c r="O9" s="29"/>
      <c r="P9" s="29"/>
      <c r="Q9" s="29"/>
      <c r="R9" s="29"/>
      <c r="S9" s="29"/>
      <c r="T9" s="22"/>
      <c r="W9" s="166" t="s">
        <v>104</v>
      </c>
      <c r="X9" s="167">
        <v>0.112399</v>
      </c>
    </row>
    <row r="10" spans="1:24" ht="15.75" x14ac:dyDescent="0.25">
      <c r="B10" s="79"/>
      <c r="C10" s="180" t="s">
        <v>31</v>
      </c>
      <c r="D10" s="187" t="s">
        <v>6</v>
      </c>
      <c r="E10" s="188">
        <v>8.5836999999999997E-2</v>
      </c>
      <c r="F10" s="29"/>
      <c r="G10" s="29"/>
      <c r="H10" s="29"/>
      <c r="I10" s="29"/>
      <c r="J10" s="29"/>
      <c r="K10" s="29"/>
      <c r="L10" s="29"/>
      <c r="M10" s="29"/>
      <c r="N10" s="29"/>
      <c r="O10" s="29"/>
      <c r="P10" s="29"/>
      <c r="Q10" s="29"/>
      <c r="R10" s="29"/>
      <c r="S10" s="29"/>
      <c r="T10" s="22"/>
      <c r="W10" s="166" t="s">
        <v>6</v>
      </c>
      <c r="X10" s="167">
        <v>8.5836999999999997E-2</v>
      </c>
    </row>
    <row r="11" spans="1:24" ht="15.75" customHeight="1" x14ac:dyDescent="0.25">
      <c r="B11" s="79"/>
      <c r="C11" s="180" t="s">
        <v>28</v>
      </c>
      <c r="D11" s="187" t="s">
        <v>104</v>
      </c>
      <c r="E11" s="188">
        <v>5.0158000000000001E-2</v>
      </c>
      <c r="F11" s="29"/>
      <c r="G11" s="29"/>
      <c r="H11" s="29"/>
      <c r="I11" s="29"/>
      <c r="J11" s="29"/>
      <c r="K11" s="29"/>
      <c r="L11" s="29"/>
      <c r="M11" s="29"/>
      <c r="N11" s="29"/>
      <c r="O11" s="29"/>
      <c r="P11" s="29"/>
      <c r="Q11" s="29"/>
      <c r="R11" s="29"/>
      <c r="S11" s="29"/>
      <c r="T11" s="22"/>
      <c r="W11" s="166" t="s">
        <v>109</v>
      </c>
      <c r="X11" s="167">
        <v>7.135699999999999E-2</v>
      </c>
    </row>
    <row r="12" spans="1:24" ht="15" customHeight="1" x14ac:dyDescent="0.25">
      <c r="B12" s="79"/>
      <c r="C12" s="180" t="s">
        <v>70</v>
      </c>
      <c r="D12" s="187" t="s">
        <v>12</v>
      </c>
      <c r="E12" s="188">
        <v>4.4400000000000002E-2</v>
      </c>
      <c r="F12" s="29"/>
      <c r="G12" s="29"/>
      <c r="H12" s="29"/>
      <c r="I12" s="29"/>
      <c r="J12" s="29"/>
      <c r="K12" s="29"/>
      <c r="L12" s="29"/>
      <c r="M12" s="29"/>
      <c r="N12" s="29"/>
      <c r="O12" s="29"/>
      <c r="P12" s="29"/>
      <c r="Q12" s="29"/>
      <c r="R12" s="29"/>
      <c r="S12" s="29"/>
      <c r="T12" s="22"/>
      <c r="W12" s="166" t="s">
        <v>114</v>
      </c>
      <c r="X12" s="167">
        <v>5.3279E-2</v>
      </c>
    </row>
    <row r="13" spans="1:24" ht="15" customHeight="1" x14ac:dyDescent="0.25">
      <c r="B13" s="79"/>
      <c r="C13" s="180" t="s">
        <v>34</v>
      </c>
      <c r="D13" s="187" t="s">
        <v>23</v>
      </c>
      <c r="E13" s="188">
        <v>3.8467000000000001E-2</v>
      </c>
      <c r="F13" s="29"/>
      <c r="G13" s="29"/>
      <c r="H13" s="29"/>
      <c r="I13" s="29"/>
      <c r="J13" s="29"/>
      <c r="K13" s="29"/>
      <c r="L13" s="29"/>
      <c r="M13" s="29"/>
      <c r="N13" s="29"/>
      <c r="O13" s="29"/>
      <c r="P13" s="29"/>
      <c r="Q13" s="29"/>
      <c r="R13" s="29"/>
      <c r="S13" s="29"/>
      <c r="T13" s="22"/>
      <c r="W13" s="166" t="s">
        <v>4</v>
      </c>
      <c r="X13" s="167">
        <v>4.7542000000000001E-2</v>
      </c>
    </row>
    <row r="14" spans="1:24" ht="15" customHeight="1" x14ac:dyDescent="0.25">
      <c r="B14" s="79"/>
      <c r="C14" s="180" t="s">
        <v>30</v>
      </c>
      <c r="D14" s="187" t="s">
        <v>114</v>
      </c>
      <c r="E14" s="188">
        <v>3.4696999999999999E-2</v>
      </c>
      <c r="F14" s="29"/>
      <c r="G14" s="29"/>
      <c r="H14" s="29"/>
      <c r="I14" s="29"/>
      <c r="J14" s="29"/>
      <c r="K14" s="29"/>
      <c r="L14" s="29"/>
      <c r="M14" s="29"/>
      <c r="N14" s="29"/>
      <c r="O14" s="29"/>
      <c r="P14" s="29"/>
      <c r="Q14" s="29"/>
      <c r="R14" s="29"/>
      <c r="S14" s="29"/>
      <c r="T14" s="22"/>
      <c r="W14" s="166" t="s">
        <v>12</v>
      </c>
      <c r="X14" s="167">
        <v>4.4400000000000002E-2</v>
      </c>
    </row>
    <row r="15" spans="1:24" ht="15" customHeight="1" x14ac:dyDescent="0.25">
      <c r="B15" s="79"/>
      <c r="C15" s="180" t="s">
        <v>33</v>
      </c>
      <c r="D15" s="187" t="s">
        <v>104</v>
      </c>
      <c r="E15" s="188">
        <v>3.1538999999999998E-2</v>
      </c>
      <c r="F15" s="29"/>
      <c r="G15" s="29"/>
      <c r="H15" s="29"/>
      <c r="I15" s="29"/>
      <c r="J15" s="29"/>
      <c r="K15" s="29"/>
      <c r="L15" s="29"/>
      <c r="M15" s="29"/>
      <c r="N15" s="29"/>
      <c r="O15" s="29"/>
      <c r="P15" s="29"/>
      <c r="Q15" s="29"/>
      <c r="R15" s="29"/>
      <c r="S15" s="29"/>
      <c r="T15" s="22"/>
      <c r="W15" s="166" t="s">
        <v>23</v>
      </c>
      <c r="X15" s="167">
        <v>3.8467000000000001E-2</v>
      </c>
    </row>
    <row r="16" spans="1:24" ht="15" customHeight="1" x14ac:dyDescent="0.25">
      <c r="B16" s="79"/>
      <c r="C16" s="180" t="s">
        <v>36</v>
      </c>
      <c r="D16" s="187" t="s">
        <v>3</v>
      </c>
      <c r="E16" s="188">
        <v>3.0374999999999999E-2</v>
      </c>
      <c r="F16" s="29"/>
      <c r="G16" s="29"/>
      <c r="H16" s="29"/>
      <c r="I16" s="29"/>
      <c r="J16" s="29"/>
      <c r="K16" s="29"/>
      <c r="L16" s="29"/>
      <c r="M16" s="29"/>
      <c r="N16" s="29"/>
      <c r="O16" s="29"/>
      <c r="P16" s="29"/>
      <c r="Q16" s="29"/>
      <c r="R16" s="29"/>
      <c r="S16" s="29"/>
      <c r="T16" s="22"/>
      <c r="W16" s="166" t="s">
        <v>108</v>
      </c>
      <c r="X16" s="167">
        <v>3.0283999999999998E-2</v>
      </c>
    </row>
    <row r="17" spans="2:24" ht="15" customHeight="1" x14ac:dyDescent="0.25">
      <c r="B17" s="79"/>
      <c r="C17" s="180" t="s">
        <v>76</v>
      </c>
      <c r="D17" s="187" t="s">
        <v>3</v>
      </c>
      <c r="E17" s="188">
        <v>2.7826E-2</v>
      </c>
      <c r="F17" s="29"/>
      <c r="G17" s="29"/>
      <c r="H17" s="29"/>
      <c r="I17" s="29"/>
      <c r="J17" s="29"/>
      <c r="K17" s="29"/>
      <c r="L17" s="29"/>
      <c r="M17" s="29"/>
      <c r="N17" s="29"/>
      <c r="O17" s="29"/>
      <c r="P17" s="29"/>
      <c r="Q17" s="29"/>
      <c r="R17" s="29"/>
      <c r="S17" s="29"/>
      <c r="T17" s="22"/>
      <c r="W17" s="166" t="s">
        <v>26</v>
      </c>
      <c r="X17" s="167">
        <v>2.5945000000000003E-2</v>
      </c>
    </row>
    <row r="18" spans="2:24" ht="15" customHeight="1" x14ac:dyDescent="0.25">
      <c r="B18" s="79"/>
      <c r="C18" s="180" t="s">
        <v>35</v>
      </c>
      <c r="D18" s="187" t="s">
        <v>3</v>
      </c>
      <c r="E18" s="188">
        <v>2.7199999999999998E-2</v>
      </c>
      <c r="F18" s="29"/>
      <c r="G18" s="29"/>
      <c r="H18" s="29"/>
      <c r="I18" s="29"/>
      <c r="J18" s="29"/>
      <c r="K18" s="29"/>
      <c r="L18" s="29"/>
      <c r="M18" s="29"/>
      <c r="N18" s="29"/>
      <c r="O18" s="29"/>
      <c r="P18" s="29"/>
      <c r="Q18" s="29"/>
      <c r="R18" s="29"/>
      <c r="S18" s="29"/>
      <c r="T18" s="22"/>
      <c r="W18" s="166" t="s">
        <v>10</v>
      </c>
      <c r="X18" s="167">
        <v>2.5826000000000002E-2</v>
      </c>
    </row>
    <row r="19" spans="2:24" ht="15" customHeight="1" x14ac:dyDescent="0.25">
      <c r="B19" s="79"/>
      <c r="C19" s="180" t="s">
        <v>117</v>
      </c>
      <c r="D19" s="187" t="s">
        <v>109</v>
      </c>
      <c r="E19" s="188">
        <v>2.3519999999999999E-2</v>
      </c>
      <c r="F19" s="29"/>
      <c r="G19" s="29"/>
      <c r="H19" s="29"/>
      <c r="I19" s="29"/>
      <c r="J19" s="29"/>
      <c r="K19" s="29"/>
      <c r="L19" s="29"/>
      <c r="M19" s="29"/>
      <c r="N19" s="29"/>
      <c r="O19" s="29"/>
      <c r="P19" s="29"/>
      <c r="Q19" s="29"/>
      <c r="R19" s="29"/>
      <c r="S19" s="29"/>
      <c r="T19" s="22"/>
      <c r="W19" s="166" t="s">
        <v>16</v>
      </c>
      <c r="X19" s="167">
        <v>2.2183999999999999E-2</v>
      </c>
    </row>
    <row r="20" spans="2:24" ht="15" customHeight="1" x14ac:dyDescent="0.25">
      <c r="B20" s="79"/>
      <c r="C20" s="180" t="s">
        <v>78</v>
      </c>
      <c r="D20" s="187" t="s">
        <v>4</v>
      </c>
      <c r="E20" s="188">
        <v>2.1405E-2</v>
      </c>
      <c r="F20" s="29"/>
      <c r="G20" s="29"/>
      <c r="H20" s="29"/>
      <c r="I20" s="29"/>
      <c r="J20" s="29"/>
      <c r="K20" s="29"/>
      <c r="L20" s="29"/>
      <c r="M20" s="29"/>
      <c r="N20" s="29"/>
      <c r="O20" s="29"/>
      <c r="P20" s="29"/>
      <c r="Q20" s="29"/>
      <c r="R20" s="29"/>
      <c r="S20" s="29"/>
      <c r="T20" s="22"/>
      <c r="W20" s="166" t="s">
        <v>80</v>
      </c>
      <c r="X20" s="167">
        <v>2.0340999999999998E-2</v>
      </c>
    </row>
    <row r="21" spans="2:24" ht="15" customHeight="1" x14ac:dyDescent="0.25">
      <c r="B21" s="79"/>
      <c r="C21" s="180" t="s">
        <v>37</v>
      </c>
      <c r="D21" s="187" t="s">
        <v>114</v>
      </c>
      <c r="E21" s="188">
        <v>1.8582000000000001E-2</v>
      </c>
      <c r="F21" s="29"/>
      <c r="G21" s="29"/>
      <c r="H21" s="29"/>
      <c r="I21" s="29"/>
      <c r="J21" s="29"/>
      <c r="K21" s="29"/>
      <c r="L21" s="29"/>
      <c r="M21" s="29"/>
      <c r="N21" s="29"/>
      <c r="O21" s="29"/>
      <c r="P21" s="29"/>
      <c r="Q21" s="29"/>
      <c r="R21" s="29"/>
      <c r="S21" s="29"/>
      <c r="T21" s="22"/>
      <c r="W21" s="166" t="s">
        <v>11</v>
      </c>
      <c r="X21" s="167">
        <v>2.0276000000000002E-2</v>
      </c>
    </row>
    <row r="22" spans="2:24" ht="15" customHeight="1" x14ac:dyDescent="0.25">
      <c r="B22" s="79"/>
      <c r="C22" s="180" t="s">
        <v>242</v>
      </c>
      <c r="D22" s="187" t="s">
        <v>108</v>
      </c>
      <c r="E22" s="188">
        <v>1.6126999999999999E-2</v>
      </c>
      <c r="F22" s="29"/>
      <c r="G22" s="29"/>
      <c r="H22" s="29"/>
      <c r="I22" s="29"/>
      <c r="J22" s="29"/>
      <c r="K22" s="29"/>
      <c r="L22" s="29"/>
      <c r="M22" s="29"/>
      <c r="N22" s="29"/>
      <c r="O22" s="29"/>
      <c r="P22" s="29"/>
      <c r="Q22" s="29"/>
      <c r="R22" s="29"/>
      <c r="S22" s="29"/>
      <c r="T22" s="22"/>
      <c r="W22" s="166" t="s">
        <v>83</v>
      </c>
      <c r="X22" s="167">
        <v>1.4657E-2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66" t="s">
        <v>84</v>
      </c>
      <c r="X23" s="167">
        <v>1.2281E-2</v>
      </c>
    </row>
    <row r="24" spans="2:24" ht="15" customHeight="1" x14ac:dyDescent="0.25">
      <c r="B24" s="79"/>
      <c r="C24" s="73" t="s">
        <v>55</v>
      </c>
      <c r="D24" s="74"/>
      <c r="E24" s="84">
        <f>SUM(E8:E22)</f>
        <v>0.673041</v>
      </c>
      <c r="F24" s="29"/>
      <c r="G24" s="29"/>
      <c r="H24" s="29"/>
      <c r="I24" s="29"/>
      <c r="J24" s="29"/>
      <c r="K24" s="29"/>
      <c r="L24" s="29"/>
      <c r="M24" s="29"/>
      <c r="N24" s="29"/>
      <c r="O24" s="29"/>
      <c r="P24" s="29"/>
      <c r="Q24" s="29"/>
      <c r="R24" s="29"/>
      <c r="S24" s="29"/>
      <c r="T24" s="22"/>
      <c r="W24" s="166" t="s">
        <v>127</v>
      </c>
      <c r="X24" s="167">
        <v>9.4280000000000006E-3</v>
      </c>
    </row>
    <row r="25" spans="2:24" ht="15" customHeight="1" x14ac:dyDescent="0.25">
      <c r="B25" s="79"/>
      <c r="C25" s="29"/>
      <c r="D25" s="29"/>
      <c r="E25" s="29"/>
      <c r="F25" s="29"/>
      <c r="G25" s="29"/>
      <c r="H25" s="29"/>
      <c r="I25" s="29"/>
      <c r="J25" s="29"/>
      <c r="K25" s="29"/>
      <c r="L25" s="29"/>
      <c r="M25" s="29"/>
      <c r="N25" s="29"/>
      <c r="O25" s="29"/>
      <c r="P25" s="29"/>
      <c r="Q25" s="29"/>
      <c r="R25" s="29"/>
      <c r="S25" s="29"/>
      <c r="T25" s="22"/>
      <c r="W25" s="166" t="s">
        <v>13</v>
      </c>
      <c r="X25" s="167">
        <v>8.2909999999999998E-3</v>
      </c>
    </row>
    <row r="26" spans="2:24" ht="15" customHeight="1" x14ac:dyDescent="0.25">
      <c r="B26" s="79"/>
      <c r="C26" s="85"/>
      <c r="D26" s="85"/>
      <c r="E26" s="86"/>
      <c r="F26" s="29"/>
      <c r="G26" s="29"/>
      <c r="H26" s="29"/>
      <c r="I26" s="29"/>
      <c r="J26" s="29"/>
      <c r="K26" s="29"/>
      <c r="L26" s="29"/>
      <c r="M26" s="29"/>
      <c r="N26" s="29"/>
      <c r="O26" s="29"/>
      <c r="P26" s="29"/>
      <c r="Q26" s="29"/>
      <c r="R26" s="29"/>
      <c r="S26" s="29"/>
      <c r="T26" s="22"/>
      <c r="W26" s="166" t="s">
        <v>15</v>
      </c>
      <c r="X26" s="167">
        <v>8.1779999999999995E-3</v>
      </c>
    </row>
    <row r="27" spans="2:24" ht="15" customHeight="1" x14ac:dyDescent="0.25">
      <c r="B27" s="79"/>
      <c r="C27" s="51"/>
      <c r="D27" s="51"/>
      <c r="E27" s="87"/>
      <c r="F27" s="29"/>
      <c r="G27" s="29"/>
      <c r="H27" s="29"/>
      <c r="I27" s="29"/>
      <c r="J27" s="29"/>
      <c r="K27" s="29"/>
      <c r="L27" s="29"/>
      <c r="M27" s="29"/>
      <c r="N27" s="29"/>
      <c r="O27" s="29"/>
      <c r="P27" s="29"/>
      <c r="Q27" s="29"/>
      <c r="R27" s="29"/>
      <c r="S27" s="29"/>
      <c r="T27" s="22"/>
      <c r="W27" s="166" t="s">
        <v>128</v>
      </c>
      <c r="X27" s="167">
        <v>8.0459999999999993E-3</v>
      </c>
    </row>
    <row r="28" spans="2:24" ht="15" customHeight="1" x14ac:dyDescent="0.25">
      <c r="B28" s="79"/>
      <c r="C28" s="85"/>
      <c r="D28" s="88"/>
      <c r="E28" s="89"/>
      <c r="F28" s="29"/>
      <c r="G28" s="29"/>
      <c r="H28" s="29"/>
      <c r="I28" s="29"/>
      <c r="J28" s="29"/>
      <c r="K28" s="29"/>
      <c r="L28" s="29"/>
      <c r="M28" s="29"/>
      <c r="N28" s="29"/>
      <c r="O28" s="29"/>
      <c r="P28" s="29"/>
      <c r="Q28" s="29"/>
      <c r="R28" s="29"/>
      <c r="S28" s="29"/>
      <c r="T28" s="22"/>
      <c r="W28" s="166" t="s">
        <v>105</v>
      </c>
      <c r="X28" s="167">
        <v>7.6610000000000003E-3</v>
      </c>
    </row>
    <row r="29" spans="2:24" ht="15" customHeight="1" x14ac:dyDescent="0.25">
      <c r="B29" s="79"/>
      <c r="C29" s="51"/>
      <c r="D29" s="51"/>
      <c r="E29" s="51"/>
      <c r="F29" s="29"/>
      <c r="G29" s="29"/>
      <c r="H29" s="29"/>
      <c r="I29" s="29"/>
      <c r="J29" s="29"/>
      <c r="K29" s="29"/>
      <c r="L29" s="29"/>
      <c r="M29" s="29"/>
      <c r="N29" s="29"/>
      <c r="O29" s="29"/>
      <c r="P29" s="29"/>
      <c r="Q29" s="29"/>
      <c r="R29" s="29"/>
      <c r="S29" s="29"/>
      <c r="T29" s="22"/>
      <c r="W29" s="166" t="s">
        <v>112</v>
      </c>
      <c r="X29" s="167">
        <v>6.4229999999999999E-3</v>
      </c>
    </row>
    <row r="30" spans="2:24" ht="15" customHeight="1" x14ac:dyDescent="0.25">
      <c r="B30" s="79"/>
      <c r="C30" s="85"/>
      <c r="D30" s="88"/>
      <c r="E30" s="86"/>
      <c r="F30" s="29"/>
      <c r="G30" s="29"/>
      <c r="H30" s="29"/>
      <c r="I30" s="29"/>
      <c r="J30" s="29"/>
      <c r="K30" s="29"/>
      <c r="L30" s="29"/>
      <c r="M30" s="29"/>
      <c r="N30" s="29"/>
      <c r="O30" s="29"/>
      <c r="P30" s="29"/>
      <c r="Q30" s="29"/>
      <c r="R30" s="29"/>
      <c r="S30" s="29"/>
      <c r="T30" s="22"/>
      <c r="W30" s="61" t="s">
        <v>74</v>
      </c>
      <c r="X30" s="62">
        <v>6.1980000000000004E-3</v>
      </c>
    </row>
    <row r="31" spans="2:24" ht="15" customHeight="1" thickBot="1" x14ac:dyDescent="0.3">
      <c r="B31" s="80"/>
      <c r="C31" s="81"/>
      <c r="D31" s="81"/>
      <c r="E31" s="81"/>
      <c r="F31" s="81"/>
      <c r="G31" s="81"/>
      <c r="H31" s="81"/>
      <c r="I31" s="81"/>
      <c r="J31" s="81"/>
      <c r="K31" s="81"/>
      <c r="L31" s="81"/>
      <c r="M31" s="81"/>
      <c r="N31" s="81"/>
      <c r="O31" s="81"/>
      <c r="P31" s="81"/>
      <c r="Q31" s="81"/>
      <c r="R31" s="81"/>
      <c r="S31" s="81"/>
      <c r="T31" s="23"/>
      <c r="W31" s="19" t="s">
        <v>129</v>
      </c>
      <c r="X31" s="62">
        <v>5.8520000000000004E-3</v>
      </c>
    </row>
    <row r="32" spans="2:24" ht="15" customHeight="1" thickBot="1" x14ac:dyDescent="0.3">
      <c r="X32" s="62"/>
    </row>
    <row r="33" spans="2:18" ht="15" customHeight="1" x14ac:dyDescent="0.25">
      <c r="B33" s="306" t="s">
        <v>177</v>
      </c>
      <c r="C33" s="307"/>
      <c r="D33" s="307"/>
      <c r="E33" s="307"/>
      <c r="F33" s="307"/>
      <c r="G33" s="307"/>
      <c r="H33" s="307"/>
      <c r="I33" s="307"/>
      <c r="J33" s="307"/>
      <c r="K33" s="307"/>
      <c r="L33" s="307"/>
      <c r="M33" s="307"/>
      <c r="N33" s="307"/>
      <c r="O33" s="307"/>
      <c r="P33" s="307"/>
      <c r="Q33" s="307"/>
      <c r="R33" s="308"/>
    </row>
    <row r="34" spans="2:18" ht="15" customHeight="1" x14ac:dyDescent="0.25">
      <c r="B34" s="309"/>
      <c r="C34" s="310"/>
      <c r="D34" s="310"/>
      <c r="E34" s="310"/>
      <c r="F34" s="310"/>
      <c r="G34" s="310"/>
      <c r="H34" s="310"/>
      <c r="I34" s="310"/>
      <c r="J34" s="310"/>
      <c r="K34" s="310"/>
      <c r="L34" s="310"/>
      <c r="M34" s="310"/>
      <c r="N34" s="310"/>
      <c r="O34" s="310"/>
      <c r="P34" s="310"/>
      <c r="Q34" s="310"/>
      <c r="R34" s="311"/>
    </row>
    <row r="35" spans="2:18" ht="15" customHeight="1" x14ac:dyDescent="0.25">
      <c r="B35" s="309"/>
      <c r="C35" s="310"/>
      <c r="D35" s="310"/>
      <c r="E35" s="310"/>
      <c r="F35" s="310"/>
      <c r="G35" s="310"/>
      <c r="H35" s="310"/>
      <c r="I35" s="310"/>
      <c r="J35" s="310"/>
      <c r="K35" s="310"/>
      <c r="L35" s="310"/>
      <c r="M35" s="310"/>
      <c r="N35" s="310"/>
      <c r="O35" s="310"/>
      <c r="P35" s="310"/>
      <c r="Q35" s="310"/>
      <c r="R35" s="311"/>
    </row>
    <row r="36" spans="2:18" ht="15" customHeight="1" x14ac:dyDescent="0.25">
      <c r="B36" s="309"/>
      <c r="C36" s="310"/>
      <c r="D36" s="310"/>
      <c r="E36" s="310"/>
      <c r="F36" s="310"/>
      <c r="G36" s="310"/>
      <c r="H36" s="310"/>
      <c r="I36" s="310"/>
      <c r="J36" s="310"/>
      <c r="K36" s="310"/>
      <c r="L36" s="310"/>
      <c r="M36" s="310"/>
      <c r="N36" s="310"/>
      <c r="O36" s="310"/>
      <c r="P36" s="310"/>
      <c r="Q36" s="310"/>
      <c r="R36" s="311"/>
    </row>
    <row r="37" spans="2:18" ht="15" customHeight="1" x14ac:dyDescent="0.25">
      <c r="B37" s="309"/>
      <c r="C37" s="310"/>
      <c r="D37" s="310"/>
      <c r="E37" s="310"/>
      <c r="F37" s="310"/>
      <c r="G37" s="310"/>
      <c r="H37" s="310"/>
      <c r="I37" s="310"/>
      <c r="J37" s="310"/>
      <c r="K37" s="310"/>
      <c r="L37" s="310"/>
      <c r="M37" s="310"/>
      <c r="N37" s="310"/>
      <c r="O37" s="310"/>
      <c r="P37" s="310"/>
      <c r="Q37" s="310"/>
      <c r="R37" s="311"/>
    </row>
    <row r="38" spans="2:18" ht="15" customHeight="1" x14ac:dyDescent="0.25">
      <c r="B38" s="309"/>
      <c r="C38" s="310"/>
      <c r="D38" s="310"/>
      <c r="E38" s="310"/>
      <c r="F38" s="310"/>
      <c r="G38" s="310"/>
      <c r="H38" s="310"/>
      <c r="I38" s="310"/>
      <c r="J38" s="310"/>
      <c r="K38" s="310"/>
      <c r="L38" s="310"/>
      <c r="M38" s="310"/>
      <c r="N38" s="310"/>
      <c r="O38" s="310"/>
      <c r="P38" s="310"/>
      <c r="Q38" s="310"/>
      <c r="R38" s="311"/>
    </row>
    <row r="39" spans="2:18" ht="15" customHeight="1" thickBot="1" x14ac:dyDescent="0.3">
      <c r="B39" s="312"/>
      <c r="C39" s="313"/>
      <c r="D39" s="313"/>
      <c r="E39" s="313"/>
      <c r="F39" s="313"/>
      <c r="G39" s="313"/>
      <c r="H39" s="313"/>
      <c r="I39" s="313"/>
      <c r="J39" s="313"/>
      <c r="K39" s="313"/>
      <c r="L39" s="313"/>
      <c r="M39" s="313"/>
      <c r="N39" s="313"/>
      <c r="O39" s="313"/>
      <c r="P39" s="313"/>
      <c r="Q39" s="313"/>
      <c r="R39" s="314"/>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ColWidth="9.140625"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5" t="s">
        <v>298</v>
      </c>
      <c r="D3" s="316"/>
      <c r="E3" s="316"/>
      <c r="F3" s="316"/>
      <c r="G3" s="316"/>
      <c r="H3" s="316"/>
      <c r="I3" s="316"/>
      <c r="J3" s="316"/>
      <c r="K3" s="316"/>
      <c r="L3" s="316"/>
      <c r="M3" s="316"/>
      <c r="N3" s="316"/>
      <c r="O3" s="316"/>
      <c r="P3" s="316"/>
      <c r="Q3" s="316"/>
      <c r="R3" s="316"/>
      <c r="S3" s="316"/>
      <c r="T3" s="22"/>
    </row>
    <row r="4" spans="1:24" ht="15.75" customHeight="1" x14ac:dyDescent="0.25">
      <c r="B4" s="79"/>
      <c r="C4" s="67" t="s">
        <v>430</v>
      </c>
      <c r="D4" s="29"/>
      <c r="E4" s="29"/>
      <c r="F4" s="29"/>
      <c r="G4" s="29"/>
      <c r="H4" s="29"/>
      <c r="I4" s="29"/>
      <c r="J4" s="29"/>
      <c r="K4" s="29"/>
      <c r="L4" s="29"/>
      <c r="M4" s="29"/>
      <c r="N4" s="29"/>
      <c r="O4" s="29"/>
      <c r="P4" s="29"/>
      <c r="Q4" s="29"/>
      <c r="R4" s="29"/>
      <c r="S4" s="29"/>
      <c r="T4" s="22"/>
    </row>
    <row r="5" spans="1:24" ht="18" customHeight="1" x14ac:dyDescent="0.25">
      <c r="B5" s="79"/>
      <c r="C5" s="211" t="s">
        <v>431</v>
      </c>
      <c r="D5" s="319" t="s">
        <v>412</v>
      </c>
      <c r="E5" s="319"/>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84" t="s">
        <v>29</v>
      </c>
      <c r="D8" s="185" t="s">
        <v>3</v>
      </c>
      <c r="E8" s="186">
        <v>0.155558</v>
      </c>
      <c r="F8" s="29"/>
      <c r="G8" s="29"/>
      <c r="H8" s="29"/>
      <c r="I8" s="29"/>
      <c r="J8" s="29"/>
      <c r="K8" s="29"/>
      <c r="L8" s="29"/>
      <c r="M8" s="29"/>
      <c r="N8" s="29"/>
      <c r="O8" s="29"/>
      <c r="P8" s="29"/>
      <c r="Q8" s="29"/>
      <c r="R8" s="29"/>
      <c r="S8" s="29"/>
      <c r="T8" s="22"/>
      <c r="W8" s="56" t="s">
        <v>3</v>
      </c>
      <c r="X8" s="57">
        <v>0.371008</v>
      </c>
    </row>
    <row r="9" spans="1:24" ht="15.75" customHeight="1" x14ac:dyDescent="0.25">
      <c r="B9" s="79"/>
      <c r="C9" s="180" t="s">
        <v>32</v>
      </c>
      <c r="D9" s="187" t="s">
        <v>3</v>
      </c>
      <c r="E9" s="188">
        <v>0.108754</v>
      </c>
      <c r="F9" s="29"/>
      <c r="G9" s="29"/>
      <c r="H9" s="29"/>
      <c r="I9" s="29"/>
      <c r="J9" s="29"/>
      <c r="K9" s="29"/>
      <c r="L9" s="29"/>
      <c r="M9" s="29"/>
      <c r="N9" s="29"/>
      <c r="O9" s="29"/>
      <c r="P9" s="29"/>
      <c r="Q9" s="29"/>
      <c r="R9" s="29"/>
      <c r="S9" s="29"/>
      <c r="T9" s="22"/>
      <c r="W9" s="56" t="s">
        <v>104</v>
      </c>
      <c r="X9" s="57">
        <v>0.12499300000000001</v>
      </c>
    </row>
    <row r="10" spans="1:24" ht="15.75" x14ac:dyDescent="0.25">
      <c r="B10" s="79"/>
      <c r="C10" s="180" t="s">
        <v>31</v>
      </c>
      <c r="D10" s="187" t="s">
        <v>6</v>
      </c>
      <c r="E10" s="188">
        <v>0.101565</v>
      </c>
      <c r="F10" s="29"/>
      <c r="G10" s="29"/>
      <c r="H10" s="29"/>
      <c r="I10" s="29"/>
      <c r="J10" s="29"/>
      <c r="K10" s="29"/>
      <c r="L10" s="29"/>
      <c r="M10" s="29"/>
      <c r="N10" s="29"/>
      <c r="O10" s="29"/>
      <c r="P10" s="29"/>
      <c r="Q10" s="29"/>
      <c r="R10" s="29"/>
      <c r="S10" s="29"/>
      <c r="T10" s="22"/>
      <c r="W10" s="56" t="s">
        <v>6</v>
      </c>
      <c r="X10" s="57">
        <v>0.101565</v>
      </c>
    </row>
    <row r="11" spans="1:24" ht="15.75" customHeight="1" x14ac:dyDescent="0.25">
      <c r="B11" s="79"/>
      <c r="C11" s="180" t="s">
        <v>28</v>
      </c>
      <c r="D11" s="187" t="s">
        <v>104</v>
      </c>
      <c r="E11" s="188">
        <v>5.9025000000000001E-2</v>
      </c>
      <c r="F11" s="29"/>
      <c r="G11" s="29"/>
      <c r="H11" s="29"/>
      <c r="I11" s="29"/>
      <c r="J11" s="29"/>
      <c r="K11" s="29"/>
      <c r="L11" s="29"/>
      <c r="M11" s="29"/>
      <c r="N11" s="29"/>
      <c r="O11" s="29"/>
      <c r="P11" s="29"/>
      <c r="Q11" s="29"/>
      <c r="R11" s="29"/>
      <c r="S11" s="29"/>
      <c r="T11" s="22"/>
      <c r="W11" s="56" t="s">
        <v>114</v>
      </c>
      <c r="X11" s="57">
        <v>6.2968999999999997E-2</v>
      </c>
    </row>
    <row r="12" spans="1:24" ht="15" customHeight="1" x14ac:dyDescent="0.25">
      <c r="B12" s="79"/>
      <c r="C12" s="180" t="s">
        <v>70</v>
      </c>
      <c r="D12" s="187" t="s">
        <v>12</v>
      </c>
      <c r="E12" s="188">
        <v>5.2520999999999998E-2</v>
      </c>
      <c r="F12" s="29"/>
      <c r="G12" s="29"/>
      <c r="H12" s="29"/>
      <c r="I12" s="29"/>
      <c r="J12" s="29"/>
      <c r="K12" s="29"/>
      <c r="L12" s="29"/>
      <c r="M12" s="29"/>
      <c r="N12" s="29"/>
      <c r="O12" s="29"/>
      <c r="P12" s="29"/>
      <c r="Q12" s="29"/>
      <c r="R12" s="29"/>
      <c r="S12" s="29"/>
      <c r="T12" s="22"/>
      <c r="W12" s="56" t="s">
        <v>109</v>
      </c>
      <c r="X12" s="57">
        <v>6.0708999999999999E-2</v>
      </c>
    </row>
    <row r="13" spans="1:24" ht="15" customHeight="1" x14ac:dyDescent="0.25">
      <c r="B13" s="79"/>
      <c r="C13" s="180" t="s">
        <v>34</v>
      </c>
      <c r="D13" s="187" t="s">
        <v>23</v>
      </c>
      <c r="E13" s="188">
        <v>4.5282999999999997E-2</v>
      </c>
      <c r="F13" s="29"/>
      <c r="G13" s="29"/>
      <c r="H13" s="29"/>
      <c r="I13" s="29"/>
      <c r="J13" s="29"/>
      <c r="K13" s="29"/>
      <c r="L13" s="29"/>
      <c r="M13" s="29"/>
      <c r="N13" s="29"/>
      <c r="O13" s="29"/>
      <c r="P13" s="29"/>
      <c r="Q13" s="29"/>
      <c r="R13" s="29"/>
      <c r="S13" s="29"/>
      <c r="T13" s="22"/>
      <c r="W13" s="56" t="s">
        <v>12</v>
      </c>
      <c r="X13" s="57">
        <v>5.2520999999999998E-2</v>
      </c>
    </row>
    <row r="14" spans="1:24" ht="15" customHeight="1" x14ac:dyDescent="0.25">
      <c r="B14" s="79"/>
      <c r="C14" s="180" t="s">
        <v>30</v>
      </c>
      <c r="D14" s="187" t="s">
        <v>114</v>
      </c>
      <c r="E14" s="188">
        <v>4.0881000000000001E-2</v>
      </c>
      <c r="F14" s="29"/>
      <c r="G14" s="29"/>
      <c r="H14" s="29"/>
      <c r="I14" s="29"/>
      <c r="J14" s="29"/>
      <c r="K14" s="29"/>
      <c r="L14" s="29"/>
      <c r="M14" s="29"/>
      <c r="N14" s="29"/>
      <c r="O14" s="29"/>
      <c r="P14" s="29"/>
      <c r="Q14" s="29"/>
      <c r="R14" s="29"/>
      <c r="S14" s="29"/>
      <c r="T14" s="22"/>
      <c r="W14" s="56" t="s">
        <v>23</v>
      </c>
      <c r="X14" s="57">
        <v>4.5282999999999997E-2</v>
      </c>
    </row>
    <row r="15" spans="1:24" ht="15" customHeight="1" x14ac:dyDescent="0.25">
      <c r="B15" s="79"/>
      <c r="C15" s="180" t="s">
        <v>33</v>
      </c>
      <c r="D15" s="187" t="s">
        <v>104</v>
      </c>
      <c r="E15" s="188">
        <v>3.7065000000000001E-2</v>
      </c>
      <c r="F15" s="29"/>
      <c r="G15" s="29"/>
      <c r="H15" s="29"/>
      <c r="I15" s="29"/>
      <c r="J15" s="29"/>
      <c r="K15" s="29"/>
      <c r="L15" s="29"/>
      <c r="M15" s="29"/>
      <c r="N15" s="29"/>
      <c r="O15" s="29"/>
      <c r="P15" s="29"/>
      <c r="Q15" s="29"/>
      <c r="R15" s="29"/>
      <c r="S15" s="29"/>
      <c r="T15" s="22"/>
      <c r="W15" s="56" t="s">
        <v>4</v>
      </c>
      <c r="X15" s="57">
        <v>3.6881999999999998E-2</v>
      </c>
    </row>
    <row r="16" spans="1:24" ht="15" customHeight="1" x14ac:dyDescent="0.25">
      <c r="B16" s="79"/>
      <c r="C16" s="180" t="s">
        <v>36</v>
      </c>
      <c r="D16" s="187" t="s">
        <v>3</v>
      </c>
      <c r="E16" s="188">
        <v>3.5844000000000001E-2</v>
      </c>
      <c r="F16" s="29"/>
      <c r="G16" s="29"/>
      <c r="H16" s="29"/>
      <c r="I16" s="29"/>
      <c r="J16" s="29"/>
      <c r="K16" s="29"/>
      <c r="L16" s="29"/>
      <c r="M16" s="29"/>
      <c r="N16" s="29"/>
      <c r="O16" s="29"/>
      <c r="P16" s="29"/>
      <c r="Q16" s="29"/>
      <c r="R16" s="29"/>
      <c r="S16" s="29"/>
      <c r="T16" s="22"/>
      <c r="W16" s="56" t="s">
        <v>10</v>
      </c>
      <c r="X16" s="57">
        <v>3.0726E-2</v>
      </c>
    </row>
    <row r="17" spans="2:24" ht="15" customHeight="1" x14ac:dyDescent="0.25">
      <c r="B17" s="79"/>
      <c r="C17" s="180" t="s">
        <v>76</v>
      </c>
      <c r="D17" s="187" t="s">
        <v>3</v>
      </c>
      <c r="E17" s="188">
        <v>3.2922E-2</v>
      </c>
      <c r="F17" s="29"/>
      <c r="G17" s="29"/>
      <c r="H17" s="29"/>
      <c r="I17" s="29"/>
      <c r="J17" s="29"/>
      <c r="K17" s="29"/>
      <c r="L17" s="29"/>
      <c r="M17" s="29"/>
      <c r="N17" s="29"/>
      <c r="O17" s="29"/>
      <c r="P17" s="29"/>
      <c r="Q17" s="29"/>
      <c r="R17" s="29"/>
      <c r="S17" s="29"/>
      <c r="T17" s="22"/>
      <c r="W17" s="56" t="s">
        <v>16</v>
      </c>
      <c r="X17" s="57">
        <v>2.6074E-2</v>
      </c>
    </row>
    <row r="18" spans="2:24" ht="15" customHeight="1" x14ac:dyDescent="0.25">
      <c r="B18" s="79"/>
      <c r="C18" s="180" t="s">
        <v>35</v>
      </c>
      <c r="D18" s="187" t="s">
        <v>3</v>
      </c>
      <c r="E18" s="188">
        <v>3.2301000000000003E-2</v>
      </c>
      <c r="F18" s="29"/>
      <c r="G18" s="29"/>
      <c r="H18" s="29"/>
      <c r="I18" s="29"/>
      <c r="J18" s="29"/>
      <c r="K18" s="29"/>
      <c r="L18" s="29"/>
      <c r="M18" s="29"/>
      <c r="N18" s="29"/>
      <c r="O18" s="29"/>
      <c r="P18" s="29"/>
      <c r="Q18" s="29"/>
      <c r="R18" s="29"/>
      <c r="S18" s="29"/>
      <c r="T18" s="22"/>
      <c r="W18" s="56" t="s">
        <v>108</v>
      </c>
      <c r="X18" s="57">
        <v>1.9179000000000002E-2</v>
      </c>
    </row>
    <row r="19" spans="2:24" ht="15" customHeight="1" x14ac:dyDescent="0.25">
      <c r="B19" s="79"/>
      <c r="C19" s="180" t="s">
        <v>117</v>
      </c>
      <c r="D19" s="187" t="s">
        <v>109</v>
      </c>
      <c r="E19" s="188">
        <v>2.7761000000000001E-2</v>
      </c>
      <c r="F19" s="29"/>
      <c r="G19" s="29"/>
      <c r="H19" s="29"/>
      <c r="I19" s="29"/>
      <c r="J19" s="29"/>
      <c r="K19" s="29"/>
      <c r="L19" s="29"/>
      <c r="M19" s="29"/>
      <c r="N19" s="29"/>
      <c r="O19" s="29"/>
      <c r="P19" s="29"/>
      <c r="Q19" s="29"/>
      <c r="R19" s="29"/>
      <c r="S19" s="29"/>
      <c r="T19" s="22"/>
      <c r="W19" s="56" t="s">
        <v>26</v>
      </c>
      <c r="X19" s="57">
        <v>1.7531000000000001E-2</v>
      </c>
    </row>
    <row r="20" spans="2:24" ht="15" customHeight="1" x14ac:dyDescent="0.25">
      <c r="B20" s="79"/>
      <c r="C20" s="180" t="s">
        <v>78</v>
      </c>
      <c r="D20" s="187" t="s">
        <v>4</v>
      </c>
      <c r="E20" s="188">
        <v>2.5281999999999999E-2</v>
      </c>
      <c r="F20" s="29"/>
      <c r="G20" s="29"/>
      <c r="H20" s="29"/>
      <c r="I20" s="29"/>
      <c r="J20" s="29"/>
      <c r="K20" s="29"/>
      <c r="L20" s="29"/>
      <c r="M20" s="29"/>
      <c r="N20" s="29"/>
      <c r="O20" s="29"/>
      <c r="P20" s="29"/>
      <c r="Q20" s="29"/>
      <c r="R20" s="29"/>
      <c r="S20" s="29"/>
      <c r="T20" s="22"/>
      <c r="W20" s="56" t="s">
        <v>11</v>
      </c>
      <c r="X20" s="57">
        <v>1.4014E-2</v>
      </c>
    </row>
    <row r="21" spans="2:24" ht="15" customHeight="1" x14ac:dyDescent="0.25">
      <c r="B21" s="79"/>
      <c r="C21" s="180" t="s">
        <v>37</v>
      </c>
      <c r="D21" s="187" t="s">
        <v>114</v>
      </c>
      <c r="E21" s="188">
        <v>2.2088E-2</v>
      </c>
      <c r="F21" s="29"/>
      <c r="G21" s="29"/>
      <c r="H21" s="29"/>
      <c r="I21" s="29"/>
      <c r="J21" s="29"/>
      <c r="K21" s="29"/>
      <c r="L21" s="29"/>
      <c r="M21" s="29"/>
      <c r="N21" s="29"/>
      <c r="O21" s="29"/>
      <c r="P21" s="29"/>
      <c r="Q21" s="29"/>
      <c r="R21" s="29"/>
      <c r="S21" s="29"/>
      <c r="T21" s="22"/>
      <c r="W21" s="56" t="s">
        <v>80</v>
      </c>
      <c r="X21" s="57">
        <v>1.3613E-2</v>
      </c>
    </row>
    <row r="22" spans="2:24" ht="15" customHeight="1" x14ac:dyDescent="0.25">
      <c r="B22" s="79"/>
      <c r="C22" s="180" t="s">
        <v>242</v>
      </c>
      <c r="D22" s="187" t="s">
        <v>108</v>
      </c>
      <c r="E22" s="188">
        <v>1.9179000000000002E-2</v>
      </c>
      <c r="F22" s="29"/>
      <c r="G22" s="29"/>
      <c r="H22" s="29"/>
      <c r="I22" s="29"/>
      <c r="J22" s="29"/>
      <c r="K22" s="29"/>
      <c r="L22" s="29"/>
      <c r="M22" s="29"/>
      <c r="N22" s="29"/>
      <c r="O22" s="29"/>
      <c r="P22" s="29"/>
      <c r="Q22" s="29"/>
      <c r="R22" s="29"/>
      <c r="S22" s="29"/>
      <c r="T22" s="22"/>
      <c r="W22" s="19" t="s">
        <v>127</v>
      </c>
      <c r="X22" s="57">
        <v>1.1145E-2</v>
      </c>
    </row>
    <row r="23" spans="2:24" ht="15" customHeight="1" x14ac:dyDescent="0.25">
      <c r="B23" s="79"/>
      <c r="C23" s="71"/>
      <c r="D23" s="71"/>
      <c r="E23" s="72"/>
      <c r="F23" s="29"/>
      <c r="G23" s="29"/>
      <c r="H23" s="29"/>
      <c r="I23" s="29"/>
      <c r="J23" s="29"/>
      <c r="K23" s="29"/>
      <c r="L23" s="29"/>
      <c r="M23" s="29"/>
      <c r="N23" s="29"/>
      <c r="O23" s="29"/>
      <c r="P23" s="29"/>
      <c r="Q23" s="29"/>
      <c r="R23" s="29"/>
      <c r="S23" s="29"/>
      <c r="T23" s="22"/>
      <c r="W23" s="56" t="s">
        <v>105</v>
      </c>
      <c r="X23" s="57">
        <v>9.1299999999999992E-3</v>
      </c>
    </row>
    <row r="24" spans="2:24" ht="15" customHeight="1" x14ac:dyDescent="0.25">
      <c r="B24" s="79"/>
      <c r="C24" s="73" t="s">
        <v>55</v>
      </c>
      <c r="D24" s="74"/>
      <c r="E24" s="75">
        <f>SUM(E8:E22)</f>
        <v>0.7960290000000001</v>
      </c>
      <c r="F24" s="29"/>
      <c r="G24" s="29"/>
      <c r="H24" s="29"/>
      <c r="I24" s="29"/>
      <c r="J24" s="29"/>
      <c r="K24" s="29"/>
      <c r="L24" s="29"/>
      <c r="M24" s="29"/>
      <c r="N24" s="29"/>
      <c r="O24" s="29"/>
      <c r="P24" s="29"/>
      <c r="Q24" s="29"/>
      <c r="R24" s="29"/>
      <c r="S24" s="29"/>
      <c r="T24" s="22"/>
      <c r="W24" s="56"/>
      <c r="X24" s="57"/>
    </row>
    <row r="25" spans="2:24" ht="15" customHeight="1" x14ac:dyDescent="0.25">
      <c r="B25" s="79"/>
      <c r="F25" s="29"/>
      <c r="G25" s="29"/>
      <c r="H25" s="29"/>
      <c r="I25" s="29"/>
      <c r="J25" s="29"/>
      <c r="K25" s="29"/>
      <c r="L25" s="29"/>
      <c r="M25" s="29"/>
      <c r="N25" s="29"/>
      <c r="O25" s="29"/>
      <c r="P25" s="29"/>
      <c r="Q25" s="29"/>
      <c r="R25" s="29"/>
      <c r="S25" s="29"/>
      <c r="T25" s="22"/>
      <c r="W25" s="56"/>
      <c r="X25" s="57"/>
    </row>
    <row r="26" spans="2:24" ht="15" customHeight="1" x14ac:dyDescent="0.25">
      <c r="B26" s="79"/>
      <c r="F26" s="29"/>
      <c r="G26" s="29"/>
      <c r="H26" s="29"/>
      <c r="I26" s="29"/>
      <c r="J26" s="29"/>
      <c r="K26" s="29"/>
      <c r="L26" s="29"/>
      <c r="M26" s="29"/>
      <c r="N26" s="29"/>
      <c r="O26" s="29"/>
      <c r="P26" s="29"/>
      <c r="Q26" s="29"/>
      <c r="R26" s="29"/>
      <c r="S26" s="29"/>
      <c r="T26" s="22"/>
      <c r="W26" s="56"/>
      <c r="X26" s="57"/>
    </row>
    <row r="27" spans="2:24" ht="15" customHeight="1" x14ac:dyDescent="0.25">
      <c r="B27" s="79"/>
      <c r="F27" s="29"/>
      <c r="G27" s="29"/>
      <c r="H27" s="29"/>
      <c r="I27" s="29"/>
      <c r="J27" s="29"/>
      <c r="K27" s="29"/>
      <c r="L27" s="29"/>
      <c r="M27" s="29"/>
      <c r="N27" s="29"/>
      <c r="O27" s="29"/>
      <c r="P27" s="29"/>
      <c r="Q27" s="29"/>
      <c r="R27" s="29"/>
      <c r="S27" s="29"/>
      <c r="T27" s="22"/>
      <c r="W27" s="56"/>
      <c r="X27" s="57"/>
    </row>
    <row r="28" spans="2:24" ht="15" customHeight="1" x14ac:dyDescent="0.25">
      <c r="B28" s="79"/>
      <c r="F28" s="29"/>
      <c r="G28" s="29"/>
      <c r="H28" s="29"/>
      <c r="I28" s="29"/>
      <c r="J28" s="29"/>
      <c r="K28" s="29"/>
      <c r="L28" s="29"/>
      <c r="M28" s="29"/>
      <c r="N28" s="29"/>
      <c r="O28" s="29"/>
      <c r="P28" s="29"/>
      <c r="Q28" s="29"/>
      <c r="R28" s="29"/>
      <c r="S28" s="29"/>
      <c r="T28" s="22"/>
      <c r="W28" s="56"/>
      <c r="X28" s="57"/>
    </row>
    <row r="29" spans="2:24" ht="15" customHeight="1" x14ac:dyDescent="0.25">
      <c r="B29" s="79"/>
      <c r="F29" s="29"/>
      <c r="G29" s="29"/>
      <c r="H29" s="29"/>
      <c r="I29" s="29"/>
      <c r="J29" s="29"/>
      <c r="K29" s="29"/>
      <c r="L29" s="29"/>
      <c r="M29" s="29"/>
      <c r="N29" s="29"/>
      <c r="O29" s="29"/>
      <c r="P29" s="29"/>
      <c r="Q29" s="29"/>
      <c r="R29" s="29"/>
      <c r="S29" s="29"/>
      <c r="T29" s="22"/>
      <c r="W29" s="56"/>
      <c r="X29" s="57"/>
    </row>
    <row r="30" spans="2:24" ht="15" customHeight="1" x14ac:dyDescent="0.25">
      <c r="B30" s="79"/>
      <c r="F30" s="29"/>
      <c r="G30" s="29"/>
      <c r="H30" s="29"/>
      <c r="I30" s="29"/>
      <c r="J30" s="29"/>
      <c r="K30" s="29"/>
      <c r="L30" s="29"/>
      <c r="M30" s="29"/>
      <c r="N30" s="29"/>
      <c r="O30" s="29"/>
      <c r="P30" s="29"/>
      <c r="Q30" s="29"/>
      <c r="R30" s="29"/>
      <c r="S30" s="29"/>
      <c r="T30" s="22"/>
      <c r="W30" s="56"/>
      <c r="X30" s="57"/>
    </row>
    <row r="31" spans="2:24" ht="15" customHeight="1" x14ac:dyDescent="0.25">
      <c r="B31" s="79"/>
      <c r="F31" s="29"/>
      <c r="G31" s="29"/>
      <c r="H31" s="29"/>
      <c r="I31" s="29"/>
      <c r="J31" s="29"/>
      <c r="K31" s="29"/>
      <c r="L31" s="29"/>
      <c r="M31" s="29"/>
      <c r="N31" s="29"/>
      <c r="O31" s="29"/>
      <c r="P31" s="29"/>
      <c r="Q31" s="29"/>
      <c r="R31" s="29"/>
      <c r="S31" s="29"/>
      <c r="T31" s="22"/>
      <c r="W31" s="56"/>
      <c r="X31" s="57"/>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56"/>
      <c r="X34" s="57"/>
    </row>
    <row r="35" spans="2:24" ht="15" customHeight="1" x14ac:dyDescent="0.25">
      <c r="B35" s="79"/>
      <c r="F35" s="29"/>
      <c r="G35" s="29"/>
      <c r="H35" s="29"/>
      <c r="I35" s="29"/>
      <c r="J35" s="29"/>
      <c r="K35" s="29"/>
      <c r="L35" s="29"/>
      <c r="M35" s="29"/>
      <c r="N35" s="29"/>
      <c r="O35" s="29"/>
      <c r="P35" s="29"/>
      <c r="Q35" s="29"/>
      <c r="R35" s="29"/>
      <c r="S35" s="29"/>
      <c r="T35" s="22"/>
      <c r="W35" s="56"/>
      <c r="X35" s="57"/>
    </row>
    <row r="36" spans="2:24" ht="15" customHeight="1" x14ac:dyDescent="0.25">
      <c r="B36" s="79"/>
      <c r="F36" s="29"/>
      <c r="G36" s="29"/>
      <c r="H36" s="29"/>
      <c r="I36" s="29"/>
      <c r="J36" s="29"/>
      <c r="K36" s="29"/>
      <c r="L36" s="29"/>
      <c r="M36" s="29"/>
      <c r="N36" s="29"/>
      <c r="O36" s="29"/>
      <c r="P36" s="29"/>
      <c r="Q36" s="29"/>
      <c r="R36" s="29"/>
      <c r="S36" s="29"/>
      <c r="T36" s="22"/>
      <c r="W36" s="56"/>
      <c r="X36" s="57"/>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306" t="s">
        <v>177</v>
      </c>
      <c r="C39" s="307"/>
      <c r="D39" s="307"/>
      <c r="E39" s="307"/>
      <c r="F39" s="307"/>
      <c r="G39" s="307"/>
      <c r="H39" s="307"/>
      <c r="I39" s="307"/>
      <c r="J39" s="307"/>
      <c r="K39" s="307"/>
      <c r="L39" s="307"/>
      <c r="M39" s="307"/>
      <c r="N39" s="307"/>
      <c r="O39" s="307"/>
      <c r="P39" s="307"/>
      <c r="Q39" s="307"/>
      <c r="R39" s="308"/>
    </row>
    <row r="40" spans="2:24" ht="15" customHeight="1" x14ac:dyDescent="0.25">
      <c r="B40" s="309"/>
      <c r="C40" s="310"/>
      <c r="D40" s="310"/>
      <c r="E40" s="310"/>
      <c r="F40" s="310"/>
      <c r="G40" s="310"/>
      <c r="H40" s="310"/>
      <c r="I40" s="310"/>
      <c r="J40" s="310"/>
      <c r="K40" s="310"/>
      <c r="L40" s="310"/>
      <c r="M40" s="310"/>
      <c r="N40" s="310"/>
      <c r="O40" s="310"/>
      <c r="P40" s="310"/>
      <c r="Q40" s="310"/>
      <c r="R40" s="311"/>
    </row>
    <row r="41" spans="2:24" ht="15" customHeight="1" x14ac:dyDescent="0.25">
      <c r="B41" s="309"/>
      <c r="C41" s="310"/>
      <c r="D41" s="310"/>
      <c r="E41" s="310"/>
      <c r="F41" s="310"/>
      <c r="G41" s="310"/>
      <c r="H41" s="310"/>
      <c r="I41" s="310"/>
      <c r="J41" s="310"/>
      <c r="K41" s="310"/>
      <c r="L41" s="310"/>
      <c r="M41" s="310"/>
      <c r="N41" s="310"/>
      <c r="O41" s="310"/>
      <c r="P41" s="310"/>
      <c r="Q41" s="310"/>
      <c r="R41" s="311"/>
    </row>
    <row r="42" spans="2:24" ht="15" customHeight="1" x14ac:dyDescent="0.25">
      <c r="B42" s="309"/>
      <c r="C42" s="310"/>
      <c r="D42" s="310"/>
      <c r="E42" s="310"/>
      <c r="F42" s="310"/>
      <c r="G42" s="310"/>
      <c r="H42" s="310"/>
      <c r="I42" s="310"/>
      <c r="J42" s="310"/>
      <c r="K42" s="310"/>
      <c r="L42" s="310"/>
      <c r="M42" s="310"/>
      <c r="N42" s="310"/>
      <c r="O42" s="310"/>
      <c r="P42" s="310"/>
      <c r="Q42" s="310"/>
      <c r="R42" s="311"/>
    </row>
    <row r="43" spans="2:24" ht="15" customHeight="1" x14ac:dyDescent="0.25">
      <c r="B43" s="309"/>
      <c r="C43" s="310"/>
      <c r="D43" s="310"/>
      <c r="E43" s="310"/>
      <c r="F43" s="310"/>
      <c r="G43" s="310"/>
      <c r="H43" s="310"/>
      <c r="I43" s="310"/>
      <c r="J43" s="310"/>
      <c r="K43" s="310"/>
      <c r="L43" s="310"/>
      <c r="M43" s="310"/>
      <c r="N43" s="310"/>
      <c r="O43" s="310"/>
      <c r="P43" s="310"/>
      <c r="Q43" s="310"/>
      <c r="R43" s="311"/>
    </row>
    <row r="44" spans="2:24" ht="15" customHeight="1" x14ac:dyDescent="0.25">
      <c r="B44" s="309"/>
      <c r="C44" s="310"/>
      <c r="D44" s="310"/>
      <c r="E44" s="310"/>
      <c r="F44" s="310"/>
      <c r="G44" s="310"/>
      <c r="H44" s="310"/>
      <c r="I44" s="310"/>
      <c r="J44" s="310"/>
      <c r="K44" s="310"/>
      <c r="L44" s="310"/>
      <c r="M44" s="310"/>
      <c r="N44" s="310"/>
      <c r="O44" s="310"/>
      <c r="P44" s="310"/>
      <c r="Q44" s="310"/>
      <c r="R44" s="311"/>
    </row>
    <row r="45" spans="2:24" ht="26.25" customHeight="1" thickBot="1" x14ac:dyDescent="0.3">
      <c r="B45" s="312"/>
      <c r="C45" s="313"/>
      <c r="D45" s="313"/>
      <c r="E45" s="313"/>
      <c r="F45" s="313"/>
      <c r="G45" s="313"/>
      <c r="H45" s="313"/>
      <c r="I45" s="313"/>
      <c r="J45" s="313"/>
      <c r="K45" s="313"/>
      <c r="L45" s="313"/>
      <c r="M45" s="313"/>
      <c r="N45" s="313"/>
      <c r="O45" s="313"/>
      <c r="P45" s="313"/>
      <c r="Q45" s="313"/>
      <c r="R45" s="314"/>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15" t="s">
        <v>152</v>
      </c>
      <c r="D3" s="316"/>
      <c r="E3" s="316"/>
      <c r="F3" s="316"/>
      <c r="G3" s="316"/>
      <c r="H3" s="316"/>
      <c r="I3" s="316"/>
      <c r="J3" s="316"/>
      <c r="K3" s="316"/>
      <c r="L3" s="316"/>
      <c r="M3" s="316"/>
      <c r="N3" s="316"/>
      <c r="O3" s="316"/>
      <c r="P3" s="316"/>
      <c r="Q3" s="316"/>
      <c r="R3" s="316"/>
      <c r="S3" s="316"/>
      <c r="T3" s="22"/>
    </row>
    <row r="4" spans="1:24" ht="15.75" customHeight="1" x14ac:dyDescent="0.25">
      <c r="B4" s="79"/>
      <c r="C4" s="67" t="s">
        <v>430</v>
      </c>
      <c r="D4" s="29"/>
      <c r="E4" s="29"/>
      <c r="F4" s="29"/>
      <c r="G4" s="29"/>
      <c r="H4" s="29"/>
      <c r="I4" s="29"/>
      <c r="J4" s="29"/>
      <c r="K4" s="29"/>
      <c r="L4" s="29"/>
      <c r="M4" s="29"/>
      <c r="N4" s="29"/>
      <c r="O4" s="29"/>
      <c r="P4" s="29"/>
      <c r="Q4" s="29"/>
      <c r="R4" s="29"/>
      <c r="S4" s="29"/>
      <c r="T4" s="22"/>
    </row>
    <row r="5" spans="1:24" ht="18" customHeight="1" x14ac:dyDescent="0.25">
      <c r="B5" s="79"/>
      <c r="C5" s="211" t="s">
        <v>431</v>
      </c>
      <c r="D5" s="319" t="s">
        <v>413</v>
      </c>
      <c r="E5" s="319"/>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84" t="s">
        <v>29</v>
      </c>
      <c r="D8" s="185" t="s">
        <v>3</v>
      </c>
      <c r="E8" s="186">
        <v>0.13181799999999999</v>
      </c>
      <c r="F8" s="29"/>
      <c r="G8" s="29"/>
      <c r="H8" s="29"/>
      <c r="I8" s="29"/>
      <c r="J8" s="29"/>
      <c r="K8" s="29"/>
      <c r="L8" s="29"/>
      <c r="M8" s="29"/>
      <c r="N8" s="29"/>
      <c r="O8" s="29"/>
      <c r="P8" s="29"/>
      <c r="Q8" s="29"/>
      <c r="R8" s="29"/>
      <c r="S8" s="29"/>
      <c r="T8" s="22"/>
      <c r="W8" t="s">
        <v>3</v>
      </c>
      <c r="X8" s="172">
        <v>0.31286900000000001</v>
      </c>
    </row>
    <row r="9" spans="1:24" ht="15.75" customHeight="1" x14ac:dyDescent="0.25">
      <c r="B9" s="79"/>
      <c r="C9" s="180" t="s">
        <v>32</v>
      </c>
      <c r="D9" s="187" t="s">
        <v>3</v>
      </c>
      <c r="E9" s="188">
        <v>9.0924000000000005E-2</v>
      </c>
      <c r="F9" s="29"/>
      <c r="G9" s="29"/>
      <c r="H9" s="29"/>
      <c r="I9" s="29"/>
      <c r="J9" s="29"/>
      <c r="K9" s="29"/>
      <c r="L9" s="29"/>
      <c r="M9" s="29"/>
      <c r="N9" s="29"/>
      <c r="O9" s="29"/>
      <c r="P9" s="29"/>
      <c r="Q9" s="29"/>
      <c r="R9" s="29"/>
      <c r="S9" s="29"/>
      <c r="T9" s="22"/>
      <c r="W9" t="s">
        <v>104</v>
      </c>
      <c r="X9" s="172">
        <v>0.11231099999999999</v>
      </c>
    </row>
    <row r="10" spans="1:24" ht="15.75" x14ac:dyDescent="0.25">
      <c r="B10" s="79"/>
      <c r="C10" s="180" t="s">
        <v>31</v>
      </c>
      <c r="D10" s="187" t="s">
        <v>6</v>
      </c>
      <c r="E10" s="188">
        <v>8.5774000000000003E-2</v>
      </c>
      <c r="F10" s="29"/>
      <c r="G10" s="29"/>
      <c r="H10" s="29"/>
      <c r="I10" s="29"/>
      <c r="J10" s="29"/>
      <c r="K10" s="29"/>
      <c r="L10" s="29"/>
      <c r="M10" s="29"/>
      <c r="N10" s="29"/>
      <c r="O10" s="29"/>
      <c r="P10" s="29"/>
      <c r="Q10" s="29"/>
      <c r="R10" s="29"/>
      <c r="S10" s="29"/>
      <c r="T10" s="22"/>
      <c r="W10" t="s">
        <v>6</v>
      </c>
      <c r="X10" s="172">
        <v>8.5774000000000003E-2</v>
      </c>
    </row>
    <row r="11" spans="1:24" ht="15.75" customHeight="1" x14ac:dyDescent="0.25">
      <c r="B11" s="79"/>
      <c r="C11" s="180" t="s">
        <v>28</v>
      </c>
      <c r="D11" s="187" t="s">
        <v>104</v>
      </c>
      <c r="E11" s="188">
        <v>5.0118999999999997E-2</v>
      </c>
      <c r="F11" s="29"/>
      <c r="G11" s="29"/>
      <c r="H11" s="29"/>
      <c r="I11" s="29"/>
      <c r="J11" s="29"/>
      <c r="K11" s="29"/>
      <c r="L11" s="29"/>
      <c r="M11" s="29"/>
      <c r="N11" s="29"/>
      <c r="O11" s="29"/>
      <c r="P11" s="29"/>
      <c r="Q11" s="29"/>
      <c r="R11" s="29"/>
      <c r="S11" s="29"/>
      <c r="T11" s="22"/>
      <c r="W11" t="s">
        <v>109</v>
      </c>
      <c r="X11" s="172">
        <v>7.1318999999999994E-2</v>
      </c>
    </row>
    <row r="12" spans="1:24" ht="15" customHeight="1" x14ac:dyDescent="0.25">
      <c r="B12" s="79"/>
      <c r="C12" s="180" t="s">
        <v>70</v>
      </c>
      <c r="D12" s="187" t="s">
        <v>12</v>
      </c>
      <c r="E12" s="188">
        <v>4.437E-2</v>
      </c>
      <c r="F12" s="29"/>
      <c r="G12" s="29"/>
      <c r="H12" s="29"/>
      <c r="I12" s="29"/>
      <c r="J12" s="29"/>
      <c r="K12" s="29"/>
      <c r="L12" s="29"/>
      <c r="M12" s="29"/>
      <c r="N12" s="29"/>
      <c r="O12" s="29"/>
      <c r="P12" s="29"/>
      <c r="Q12" s="29"/>
      <c r="R12" s="29"/>
      <c r="S12" s="29"/>
      <c r="T12" s="22"/>
      <c r="W12" t="s">
        <v>114</v>
      </c>
      <c r="X12" s="172">
        <v>5.3242999999999999E-2</v>
      </c>
    </row>
    <row r="13" spans="1:24" ht="15" customHeight="1" x14ac:dyDescent="0.25">
      <c r="B13" s="79"/>
      <c r="C13" s="180" t="s">
        <v>34</v>
      </c>
      <c r="D13" s="187" t="s">
        <v>23</v>
      </c>
      <c r="E13" s="188">
        <v>3.8439000000000001E-2</v>
      </c>
      <c r="F13" s="29"/>
      <c r="G13" s="29"/>
      <c r="H13" s="29"/>
      <c r="I13" s="29"/>
      <c r="J13" s="29"/>
      <c r="K13" s="29"/>
      <c r="L13" s="29"/>
      <c r="M13" s="29"/>
      <c r="N13" s="29"/>
      <c r="O13" s="29"/>
      <c r="P13" s="29"/>
      <c r="Q13" s="29"/>
      <c r="R13" s="29"/>
      <c r="S13" s="29"/>
      <c r="T13" s="22"/>
      <c r="W13" t="s">
        <v>4</v>
      </c>
      <c r="X13" s="172">
        <v>4.7504999999999999E-2</v>
      </c>
    </row>
    <row r="14" spans="1:24" ht="15" customHeight="1" x14ac:dyDescent="0.25">
      <c r="B14" s="79"/>
      <c r="C14" s="180" t="s">
        <v>30</v>
      </c>
      <c r="D14" s="187" t="s">
        <v>114</v>
      </c>
      <c r="E14" s="188">
        <v>3.4671E-2</v>
      </c>
      <c r="F14" s="29"/>
      <c r="G14" s="29"/>
      <c r="H14" s="29"/>
      <c r="I14" s="29"/>
      <c r="J14" s="29"/>
      <c r="K14" s="29"/>
      <c r="L14" s="29"/>
      <c r="M14" s="29"/>
      <c r="N14" s="29"/>
      <c r="O14" s="29"/>
      <c r="P14" s="29"/>
      <c r="Q14" s="29"/>
      <c r="R14" s="29"/>
      <c r="S14" s="29"/>
      <c r="T14" s="22"/>
      <c r="W14" t="s">
        <v>12</v>
      </c>
      <c r="X14" s="172">
        <v>4.437E-2</v>
      </c>
    </row>
    <row r="15" spans="1:24" ht="15" customHeight="1" x14ac:dyDescent="0.25">
      <c r="B15" s="79"/>
      <c r="C15" s="180" t="s">
        <v>33</v>
      </c>
      <c r="D15" s="187" t="s">
        <v>104</v>
      </c>
      <c r="E15" s="188">
        <v>3.1517999999999997E-2</v>
      </c>
      <c r="F15" s="29"/>
      <c r="G15" s="29"/>
      <c r="H15" s="29"/>
      <c r="I15" s="29"/>
      <c r="J15" s="29"/>
      <c r="K15" s="29"/>
      <c r="L15" s="29"/>
      <c r="M15" s="29"/>
      <c r="N15" s="29"/>
      <c r="O15" s="29"/>
      <c r="P15" s="29"/>
      <c r="Q15" s="29"/>
      <c r="R15" s="29"/>
      <c r="S15" s="29"/>
      <c r="T15" s="22"/>
      <c r="W15" t="s">
        <v>23</v>
      </c>
      <c r="X15" s="172">
        <v>3.8439000000000001E-2</v>
      </c>
    </row>
    <row r="16" spans="1:24" ht="15" customHeight="1" x14ac:dyDescent="0.25">
      <c r="B16" s="79"/>
      <c r="C16" s="180" t="s">
        <v>36</v>
      </c>
      <c r="D16" s="187" t="s">
        <v>3</v>
      </c>
      <c r="E16" s="188">
        <v>3.0351E-2</v>
      </c>
      <c r="F16" s="29"/>
      <c r="G16" s="29"/>
      <c r="H16" s="29"/>
      <c r="I16" s="29"/>
      <c r="J16" s="29"/>
      <c r="K16" s="29"/>
      <c r="L16" s="29"/>
      <c r="M16" s="29"/>
      <c r="N16" s="29"/>
      <c r="O16" s="29"/>
      <c r="P16" s="29"/>
      <c r="Q16" s="29"/>
      <c r="R16" s="29"/>
      <c r="S16" s="29"/>
      <c r="T16" s="22"/>
      <c r="W16" t="s">
        <v>108</v>
      </c>
      <c r="X16" s="172">
        <v>3.0262999999999998E-2</v>
      </c>
    </row>
    <row r="17" spans="2:24" ht="15" customHeight="1" x14ac:dyDescent="0.25">
      <c r="B17" s="79"/>
      <c r="C17" s="180" t="s">
        <v>76</v>
      </c>
      <c r="D17" s="187" t="s">
        <v>3</v>
      </c>
      <c r="E17" s="188">
        <v>2.7806000000000001E-2</v>
      </c>
      <c r="F17" s="29"/>
      <c r="G17" s="29"/>
      <c r="H17" s="29"/>
      <c r="I17" s="29"/>
      <c r="J17" s="29"/>
      <c r="K17" s="29"/>
      <c r="L17" s="29"/>
      <c r="M17" s="29"/>
      <c r="N17" s="29"/>
      <c r="O17" s="29"/>
      <c r="P17" s="29"/>
      <c r="Q17" s="29"/>
      <c r="R17" s="29"/>
      <c r="S17" s="29"/>
      <c r="T17" s="22"/>
      <c r="W17" t="s">
        <v>26</v>
      </c>
      <c r="X17" s="172">
        <v>2.5933999999999999E-2</v>
      </c>
    </row>
    <row r="18" spans="2:24" ht="15" customHeight="1" x14ac:dyDescent="0.25">
      <c r="B18" s="79"/>
      <c r="C18" s="180" t="s">
        <v>35</v>
      </c>
      <c r="D18" s="187" t="s">
        <v>3</v>
      </c>
      <c r="E18" s="188">
        <v>2.7177E-2</v>
      </c>
      <c r="F18" s="29"/>
      <c r="G18" s="29"/>
      <c r="H18" s="29"/>
      <c r="I18" s="29"/>
      <c r="J18" s="29"/>
      <c r="K18" s="29"/>
      <c r="L18" s="29"/>
      <c r="M18" s="29"/>
      <c r="N18" s="29"/>
      <c r="O18" s="29"/>
      <c r="P18" s="29"/>
      <c r="Q18" s="29"/>
      <c r="R18" s="29"/>
      <c r="S18" s="29"/>
      <c r="T18" s="22"/>
      <c r="W18" t="s">
        <v>10</v>
      </c>
      <c r="X18" s="172">
        <v>2.5806000000000003E-2</v>
      </c>
    </row>
    <row r="19" spans="2:24" ht="15" customHeight="1" x14ac:dyDescent="0.25">
      <c r="B19" s="79"/>
      <c r="C19" s="180" t="s">
        <v>117</v>
      </c>
      <c r="D19" s="187" t="s">
        <v>109</v>
      </c>
      <c r="E19" s="188">
        <v>2.35E-2</v>
      </c>
      <c r="F19" s="29"/>
      <c r="G19" s="29"/>
      <c r="H19" s="29"/>
      <c r="I19" s="29"/>
      <c r="J19" s="29"/>
      <c r="K19" s="29"/>
      <c r="L19" s="29"/>
      <c r="M19" s="29"/>
      <c r="N19" s="29"/>
      <c r="O19" s="29"/>
      <c r="P19" s="29"/>
      <c r="Q19" s="29"/>
      <c r="R19" s="29"/>
      <c r="S19" s="29"/>
      <c r="T19" s="22"/>
      <c r="W19" t="s">
        <v>16</v>
      </c>
      <c r="X19" s="172">
        <v>2.2171E-2</v>
      </c>
    </row>
    <row r="20" spans="2:24" ht="15" customHeight="1" x14ac:dyDescent="0.25">
      <c r="B20" s="79"/>
      <c r="C20" s="180" t="s">
        <v>78</v>
      </c>
      <c r="D20" s="187" t="s">
        <v>4</v>
      </c>
      <c r="E20" s="188">
        <v>2.1392999999999999E-2</v>
      </c>
      <c r="F20" s="29"/>
      <c r="G20" s="29"/>
      <c r="H20" s="29"/>
      <c r="I20" s="29"/>
      <c r="J20" s="29"/>
      <c r="K20" s="29"/>
      <c r="L20" s="29"/>
      <c r="M20" s="29"/>
      <c r="N20" s="29"/>
      <c r="O20" s="29"/>
      <c r="P20" s="29"/>
      <c r="Q20" s="29"/>
      <c r="R20" s="29"/>
      <c r="S20" s="29"/>
      <c r="T20" s="22"/>
      <c r="W20" t="s">
        <v>80</v>
      </c>
      <c r="X20" s="172">
        <v>2.0309000000000001E-2</v>
      </c>
    </row>
    <row r="21" spans="2:24" ht="15" customHeight="1" x14ac:dyDescent="0.25">
      <c r="B21" s="79"/>
      <c r="C21" s="180" t="s">
        <v>37</v>
      </c>
      <c r="D21" s="187" t="s">
        <v>114</v>
      </c>
      <c r="E21" s="188">
        <v>1.8572000000000002E-2</v>
      </c>
      <c r="F21" s="29"/>
      <c r="G21" s="29"/>
      <c r="H21" s="29"/>
      <c r="I21" s="29"/>
      <c r="J21" s="29"/>
      <c r="K21" s="29"/>
      <c r="L21" s="29"/>
      <c r="M21" s="29"/>
      <c r="N21" s="29"/>
      <c r="O21" s="29"/>
      <c r="P21" s="29"/>
      <c r="Q21" s="29"/>
      <c r="R21" s="29"/>
      <c r="S21" s="29"/>
      <c r="T21" s="22"/>
      <c r="W21" t="s">
        <v>11</v>
      </c>
      <c r="X21" s="172">
        <v>2.0261000000000001E-2</v>
      </c>
    </row>
    <row r="22" spans="2:24" ht="15" customHeight="1" x14ac:dyDescent="0.25">
      <c r="B22" s="79"/>
      <c r="C22" s="180" t="s">
        <v>242</v>
      </c>
      <c r="D22" s="187" t="s">
        <v>108</v>
      </c>
      <c r="E22" s="188">
        <v>1.6114E-2</v>
      </c>
      <c r="F22" s="29"/>
      <c r="G22" s="29"/>
      <c r="H22" s="29"/>
      <c r="I22" s="29"/>
      <c r="J22" s="29"/>
      <c r="K22" s="29"/>
      <c r="L22" s="29"/>
      <c r="M22" s="29"/>
      <c r="N22" s="29"/>
      <c r="O22" s="29"/>
      <c r="P22" s="29"/>
      <c r="Q22" s="29"/>
      <c r="R22" s="29"/>
      <c r="S22" s="29"/>
      <c r="T22" s="22"/>
      <c r="W22" t="s">
        <v>83</v>
      </c>
      <c r="X22" s="172">
        <v>1.4644000000000001E-2</v>
      </c>
    </row>
    <row r="23" spans="2:24" ht="15" customHeight="1" x14ac:dyDescent="0.25">
      <c r="B23" s="79"/>
      <c r="C23" s="71"/>
      <c r="D23" s="71"/>
      <c r="E23" s="72"/>
      <c r="F23" s="29"/>
      <c r="G23" s="29"/>
      <c r="H23" s="29"/>
      <c r="I23" s="29"/>
      <c r="J23" s="29"/>
      <c r="K23" s="29"/>
      <c r="L23" s="29"/>
      <c r="M23" s="29"/>
      <c r="N23" s="29"/>
      <c r="O23" s="29"/>
      <c r="P23" s="29"/>
      <c r="Q23" s="29"/>
      <c r="R23" s="29"/>
      <c r="S23" s="29"/>
      <c r="T23" s="22"/>
      <c r="W23" t="s">
        <v>84</v>
      </c>
      <c r="X23" s="172">
        <v>1.2272E-2</v>
      </c>
    </row>
    <row r="24" spans="2:24" ht="15" customHeight="1" x14ac:dyDescent="0.25">
      <c r="B24" s="79"/>
      <c r="C24" s="73" t="s">
        <v>55</v>
      </c>
      <c r="D24" s="74"/>
      <c r="E24" s="75">
        <f>SUM(E8:E22)</f>
        <v>0.67254600000000009</v>
      </c>
      <c r="F24" s="29"/>
      <c r="G24" s="29"/>
      <c r="H24" s="29"/>
      <c r="I24" s="29"/>
      <c r="J24" s="29"/>
      <c r="K24" s="29"/>
      <c r="L24" s="29"/>
      <c r="M24" s="29"/>
      <c r="N24" s="29"/>
      <c r="O24" s="29"/>
      <c r="P24" s="29"/>
      <c r="Q24" s="29"/>
      <c r="R24" s="29"/>
      <c r="S24" s="29"/>
      <c r="T24" s="22"/>
      <c r="W24" t="s">
        <v>127</v>
      </c>
      <c r="X24" s="172">
        <v>9.4199999999999996E-3</v>
      </c>
    </row>
    <row r="25" spans="2:24" ht="15" customHeight="1" x14ac:dyDescent="0.25">
      <c r="B25" s="79"/>
      <c r="F25" s="29"/>
      <c r="G25" s="29"/>
      <c r="H25" s="29"/>
      <c r="I25" s="29"/>
      <c r="J25" s="29"/>
      <c r="K25" s="29"/>
      <c r="L25" s="29"/>
      <c r="M25" s="29"/>
      <c r="N25" s="29"/>
      <c r="O25" s="29"/>
      <c r="P25" s="29"/>
      <c r="Q25" s="29"/>
      <c r="R25" s="29"/>
      <c r="S25" s="29"/>
      <c r="T25" s="22"/>
      <c r="W25" t="s">
        <v>13</v>
      </c>
      <c r="X25" s="172">
        <v>8.2839999999999997E-3</v>
      </c>
    </row>
    <row r="26" spans="2:24" ht="15" customHeight="1" x14ac:dyDescent="0.25">
      <c r="B26" s="79"/>
      <c r="F26" s="29"/>
      <c r="G26" s="29"/>
      <c r="H26" s="29"/>
      <c r="I26" s="29"/>
      <c r="J26" s="29"/>
      <c r="K26" s="29"/>
      <c r="L26" s="29"/>
      <c r="M26" s="29"/>
      <c r="N26" s="29"/>
      <c r="O26" s="29"/>
      <c r="P26" s="29"/>
      <c r="Q26" s="29"/>
      <c r="R26" s="29"/>
      <c r="S26" s="29"/>
      <c r="T26" s="22"/>
      <c r="W26" t="s">
        <v>15</v>
      </c>
      <c r="X26" s="172">
        <v>8.1720000000000004E-3</v>
      </c>
    </row>
    <row r="27" spans="2:24" ht="15" customHeight="1" x14ac:dyDescent="0.25">
      <c r="B27" s="79"/>
      <c r="F27" s="29"/>
      <c r="G27" s="29"/>
      <c r="H27" s="29"/>
      <c r="I27" s="29"/>
      <c r="J27" s="29"/>
      <c r="K27" s="29"/>
      <c r="L27" s="29"/>
      <c r="M27" s="29"/>
      <c r="N27" s="29"/>
      <c r="O27" s="29"/>
      <c r="P27" s="29"/>
      <c r="Q27" s="29"/>
      <c r="R27" s="29"/>
      <c r="S27" s="29"/>
      <c r="T27" s="22"/>
      <c r="W27" t="s">
        <v>128</v>
      </c>
      <c r="X27" s="172">
        <v>8.0400000000000003E-3</v>
      </c>
    </row>
    <row r="28" spans="2:24" ht="15" customHeight="1" x14ac:dyDescent="0.25">
      <c r="B28" s="79"/>
      <c r="F28" s="29"/>
      <c r="G28" s="29"/>
      <c r="H28" s="29"/>
      <c r="I28" s="29"/>
      <c r="J28" s="29"/>
      <c r="K28" s="29"/>
      <c r="L28" s="29"/>
      <c r="M28" s="29"/>
      <c r="N28" s="29"/>
      <c r="O28" s="29"/>
      <c r="P28" s="29"/>
      <c r="Q28" s="29"/>
      <c r="R28" s="29"/>
      <c r="S28" s="29"/>
      <c r="T28" s="22"/>
      <c r="W28" t="s">
        <v>105</v>
      </c>
      <c r="X28" s="172">
        <v>7.6550000000000003E-3</v>
      </c>
    </row>
    <row r="29" spans="2:24" ht="15" customHeight="1" x14ac:dyDescent="0.25">
      <c r="B29" s="79"/>
      <c r="F29" s="29"/>
      <c r="G29" s="29"/>
      <c r="H29" s="29"/>
      <c r="I29" s="29"/>
      <c r="J29" s="29"/>
      <c r="K29" s="29"/>
      <c r="L29" s="29"/>
      <c r="M29" s="29"/>
      <c r="N29" s="29"/>
      <c r="O29" s="29"/>
      <c r="P29" s="29"/>
      <c r="Q29" s="29"/>
      <c r="R29" s="29"/>
      <c r="S29" s="29"/>
      <c r="T29" s="22"/>
      <c r="W29" t="s">
        <v>112</v>
      </c>
      <c r="X29" s="172">
        <v>6.4190000000000002E-3</v>
      </c>
    </row>
    <row r="30" spans="2:24" ht="15" customHeight="1" x14ac:dyDescent="0.25">
      <c r="B30" s="79"/>
      <c r="F30" s="29"/>
      <c r="G30" s="29"/>
      <c r="H30" s="29"/>
      <c r="I30" s="29"/>
      <c r="J30" s="29"/>
      <c r="K30" s="29"/>
      <c r="L30" s="29"/>
      <c r="M30" s="29"/>
      <c r="N30" s="29"/>
      <c r="O30" s="29"/>
      <c r="P30" s="29"/>
      <c r="Q30" s="29"/>
      <c r="R30" s="29"/>
      <c r="S30" s="29"/>
      <c r="T30" s="22"/>
      <c r="W30" s="56" t="s">
        <v>74</v>
      </c>
      <c r="X30" s="57">
        <v>6.1929999999999997E-3</v>
      </c>
    </row>
    <row r="31" spans="2:24" ht="15" customHeight="1" x14ac:dyDescent="0.25">
      <c r="B31" s="79"/>
      <c r="F31" s="29"/>
      <c r="G31" s="29"/>
      <c r="H31" s="29"/>
      <c r="I31" s="29"/>
      <c r="J31" s="29"/>
      <c r="K31" s="29"/>
      <c r="L31" s="29"/>
      <c r="M31" s="29"/>
      <c r="N31" s="29"/>
      <c r="O31" s="29"/>
      <c r="P31" s="29"/>
      <c r="Q31" s="29"/>
      <c r="R31" s="29"/>
      <c r="S31" s="29"/>
      <c r="T31" s="22"/>
      <c r="W31" s="56" t="s">
        <v>129</v>
      </c>
      <c r="X31" s="57">
        <v>5.8450000000000004E-3</v>
      </c>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39"/>
      <c r="X34" s="39"/>
    </row>
    <row r="35" spans="2:24" ht="15" customHeight="1" x14ac:dyDescent="0.25">
      <c r="B35" s="79"/>
      <c r="F35" s="29"/>
      <c r="G35" s="29"/>
      <c r="H35" s="29"/>
      <c r="I35" s="29"/>
      <c r="J35" s="29"/>
      <c r="K35" s="29"/>
      <c r="L35" s="29"/>
      <c r="M35" s="29"/>
      <c r="N35" s="29"/>
      <c r="O35" s="29"/>
      <c r="P35" s="29"/>
      <c r="Q35" s="29"/>
      <c r="R35" s="29"/>
      <c r="S35" s="29"/>
      <c r="T35" s="22"/>
      <c r="W35" s="39"/>
      <c r="X35" s="39"/>
    </row>
    <row r="36" spans="2:24" ht="15" customHeight="1" x14ac:dyDescent="0.25">
      <c r="B36" s="79"/>
      <c r="F36" s="29"/>
      <c r="G36" s="29"/>
      <c r="H36" s="29"/>
      <c r="I36" s="29"/>
      <c r="J36" s="29"/>
      <c r="K36" s="29"/>
      <c r="L36" s="29"/>
      <c r="M36" s="29"/>
      <c r="N36" s="29"/>
      <c r="O36" s="29"/>
      <c r="P36" s="29"/>
      <c r="Q36" s="29"/>
      <c r="R36" s="29"/>
      <c r="S36" s="29"/>
      <c r="T36" s="22"/>
      <c r="W36" s="39"/>
      <c r="X36" s="39"/>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306" t="s">
        <v>177</v>
      </c>
      <c r="C39" s="307"/>
      <c r="D39" s="307"/>
      <c r="E39" s="307"/>
      <c r="F39" s="307"/>
      <c r="G39" s="307"/>
      <c r="H39" s="307"/>
      <c r="I39" s="307"/>
      <c r="J39" s="307"/>
      <c r="K39" s="307"/>
      <c r="L39" s="307"/>
      <c r="M39" s="307"/>
      <c r="N39" s="307"/>
      <c r="O39" s="307"/>
      <c r="P39" s="307"/>
      <c r="Q39" s="307"/>
      <c r="R39" s="308"/>
    </row>
    <row r="40" spans="2:24" ht="15" customHeight="1" x14ac:dyDescent="0.25">
      <c r="B40" s="309"/>
      <c r="C40" s="310"/>
      <c r="D40" s="310"/>
      <c r="E40" s="310"/>
      <c r="F40" s="310"/>
      <c r="G40" s="310"/>
      <c r="H40" s="310"/>
      <c r="I40" s="310"/>
      <c r="J40" s="310"/>
      <c r="K40" s="310"/>
      <c r="L40" s="310"/>
      <c r="M40" s="310"/>
      <c r="N40" s="310"/>
      <c r="O40" s="310"/>
      <c r="P40" s="310"/>
      <c r="Q40" s="310"/>
      <c r="R40" s="311"/>
    </row>
    <row r="41" spans="2:24" ht="15" customHeight="1" x14ac:dyDescent="0.25">
      <c r="B41" s="309"/>
      <c r="C41" s="310"/>
      <c r="D41" s="310"/>
      <c r="E41" s="310"/>
      <c r="F41" s="310"/>
      <c r="G41" s="310"/>
      <c r="H41" s="310"/>
      <c r="I41" s="310"/>
      <c r="J41" s="310"/>
      <c r="K41" s="310"/>
      <c r="L41" s="310"/>
      <c r="M41" s="310"/>
      <c r="N41" s="310"/>
      <c r="O41" s="310"/>
      <c r="P41" s="310"/>
      <c r="Q41" s="310"/>
      <c r="R41" s="311"/>
    </row>
    <row r="42" spans="2:24" ht="15" customHeight="1" x14ac:dyDescent="0.25">
      <c r="B42" s="309"/>
      <c r="C42" s="310"/>
      <c r="D42" s="310"/>
      <c r="E42" s="310"/>
      <c r="F42" s="310"/>
      <c r="G42" s="310"/>
      <c r="H42" s="310"/>
      <c r="I42" s="310"/>
      <c r="J42" s="310"/>
      <c r="K42" s="310"/>
      <c r="L42" s="310"/>
      <c r="M42" s="310"/>
      <c r="N42" s="310"/>
      <c r="O42" s="310"/>
      <c r="P42" s="310"/>
      <c r="Q42" s="310"/>
      <c r="R42" s="311"/>
    </row>
    <row r="43" spans="2:24" ht="15" customHeight="1" x14ac:dyDescent="0.25">
      <c r="B43" s="309"/>
      <c r="C43" s="310"/>
      <c r="D43" s="310"/>
      <c r="E43" s="310"/>
      <c r="F43" s="310"/>
      <c r="G43" s="310"/>
      <c r="H43" s="310"/>
      <c r="I43" s="310"/>
      <c r="J43" s="310"/>
      <c r="K43" s="310"/>
      <c r="L43" s="310"/>
      <c r="M43" s="310"/>
      <c r="N43" s="310"/>
      <c r="O43" s="310"/>
      <c r="P43" s="310"/>
      <c r="Q43" s="310"/>
      <c r="R43" s="311"/>
    </row>
    <row r="44" spans="2:24" ht="15" customHeight="1" x14ac:dyDescent="0.25">
      <c r="B44" s="309"/>
      <c r="C44" s="310"/>
      <c r="D44" s="310"/>
      <c r="E44" s="310"/>
      <c r="F44" s="310"/>
      <c r="G44" s="310"/>
      <c r="H44" s="310"/>
      <c r="I44" s="310"/>
      <c r="J44" s="310"/>
      <c r="K44" s="310"/>
      <c r="L44" s="310"/>
      <c r="M44" s="310"/>
      <c r="N44" s="310"/>
      <c r="O44" s="310"/>
      <c r="P44" s="310"/>
      <c r="Q44" s="310"/>
      <c r="R44" s="311"/>
    </row>
    <row r="45" spans="2:24" ht="27.75" customHeight="1" thickBot="1" x14ac:dyDescent="0.3">
      <c r="B45" s="312"/>
      <c r="C45" s="313"/>
      <c r="D45" s="313"/>
      <c r="E45" s="313"/>
      <c r="F45" s="313"/>
      <c r="G45" s="313"/>
      <c r="H45" s="313"/>
      <c r="I45" s="313"/>
      <c r="J45" s="313"/>
      <c r="K45" s="313"/>
      <c r="L45" s="313"/>
      <c r="M45" s="313"/>
      <c r="N45" s="313"/>
      <c r="O45" s="313"/>
      <c r="P45" s="313"/>
      <c r="Q45" s="313"/>
      <c r="R45" s="314"/>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sheetPr codeName="Sheet28"/>
  <dimension ref="A1:X67"/>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315" t="s">
        <v>151</v>
      </c>
      <c r="D3" s="316"/>
      <c r="E3" s="316"/>
      <c r="F3" s="316"/>
      <c r="G3" s="316"/>
      <c r="H3" s="316"/>
      <c r="I3" s="316"/>
      <c r="J3" s="316"/>
      <c r="K3" s="316"/>
      <c r="L3" s="316"/>
      <c r="M3" s="316"/>
      <c r="N3" s="316"/>
      <c r="O3" s="316"/>
      <c r="P3" s="316"/>
      <c r="Q3" s="316"/>
      <c r="R3" s="316"/>
      <c r="S3" s="316"/>
      <c r="T3" s="65"/>
      <c r="U3" s="66"/>
    </row>
    <row r="4" spans="1:24" ht="15.75" customHeight="1" x14ac:dyDescent="0.25">
      <c r="B4" s="64"/>
      <c r="C4" s="67" t="s">
        <v>430</v>
      </c>
      <c r="D4" s="29"/>
      <c r="E4" s="29"/>
      <c r="F4" s="29"/>
      <c r="G4" s="29"/>
      <c r="H4" s="29"/>
      <c r="I4" s="29"/>
      <c r="J4" s="29"/>
      <c r="K4" s="29"/>
      <c r="L4" s="29"/>
      <c r="M4" s="29"/>
      <c r="N4" s="29"/>
      <c r="O4" s="29"/>
      <c r="P4" s="29"/>
      <c r="Q4" s="29"/>
      <c r="R4" s="29"/>
      <c r="S4" s="29"/>
      <c r="T4" s="29"/>
      <c r="U4" s="25"/>
    </row>
    <row r="5" spans="1:24" ht="18" customHeight="1" x14ac:dyDescent="0.25">
      <c r="B5" s="64"/>
      <c r="C5" s="211" t="s">
        <v>431</v>
      </c>
      <c r="D5" s="319" t="s">
        <v>414</v>
      </c>
      <c r="E5" s="319"/>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5" t="s">
        <v>29</v>
      </c>
      <c r="D8" s="196" t="s">
        <v>3</v>
      </c>
      <c r="E8" s="186">
        <v>0.10922</v>
      </c>
      <c r="F8" s="29"/>
      <c r="G8" s="29"/>
      <c r="H8" s="29"/>
      <c r="I8" s="29"/>
      <c r="J8" s="29"/>
      <c r="K8" s="29"/>
      <c r="L8" s="29"/>
      <c r="M8" s="29"/>
      <c r="N8" s="29"/>
      <c r="O8" s="29"/>
      <c r="P8" s="29"/>
      <c r="Q8" s="29"/>
      <c r="R8" s="29"/>
      <c r="S8" s="29"/>
      <c r="T8" s="29"/>
      <c r="U8" s="25"/>
      <c r="W8" s="171" t="s">
        <v>3</v>
      </c>
      <c r="X8" s="172">
        <v>0.26819199999999999</v>
      </c>
    </row>
    <row r="9" spans="1:24" ht="15.75" customHeight="1" x14ac:dyDescent="0.25">
      <c r="B9" s="64"/>
      <c r="C9" s="197" t="s">
        <v>32</v>
      </c>
      <c r="D9" s="198" t="s">
        <v>3</v>
      </c>
      <c r="E9" s="188">
        <v>7.5333999999999998E-2</v>
      </c>
      <c r="F9" s="29"/>
      <c r="G9" s="29"/>
      <c r="H9" s="29"/>
      <c r="I9" s="29"/>
      <c r="J9" s="29"/>
      <c r="K9" s="29"/>
      <c r="L9" s="29"/>
      <c r="M9" s="29"/>
      <c r="N9" s="29"/>
      <c r="O9" s="29"/>
      <c r="P9" s="29"/>
      <c r="Q9" s="29"/>
      <c r="R9" s="29"/>
      <c r="S9" s="29"/>
      <c r="T9" s="29"/>
      <c r="U9" s="25"/>
      <c r="W9" s="171" t="s">
        <v>104</v>
      </c>
      <c r="X9" s="172">
        <v>9.6515000000000004E-2</v>
      </c>
    </row>
    <row r="10" spans="1:24" ht="15.75" x14ac:dyDescent="0.25">
      <c r="B10" s="64"/>
      <c r="C10" s="197" t="s">
        <v>31</v>
      </c>
      <c r="D10" s="198" t="s">
        <v>6</v>
      </c>
      <c r="E10" s="188">
        <v>7.1068000000000006E-2</v>
      </c>
      <c r="F10" s="29"/>
      <c r="G10" s="29"/>
      <c r="H10" s="29"/>
      <c r="I10" s="29"/>
      <c r="J10" s="29"/>
      <c r="K10" s="29"/>
      <c r="L10" s="29"/>
      <c r="M10" s="29"/>
      <c r="N10" s="29"/>
      <c r="O10" s="29"/>
      <c r="P10" s="29"/>
      <c r="Q10" s="29"/>
      <c r="R10" s="29"/>
      <c r="S10" s="29"/>
      <c r="T10" s="29"/>
      <c r="U10" s="25"/>
      <c r="W10" s="171" t="s">
        <v>6</v>
      </c>
      <c r="X10" s="172">
        <v>7.954E-2</v>
      </c>
    </row>
    <row r="11" spans="1:24" ht="15.75" customHeight="1" x14ac:dyDescent="0.25">
      <c r="B11" s="64"/>
      <c r="C11" s="197" t="s">
        <v>28</v>
      </c>
      <c r="D11" s="198" t="s">
        <v>104</v>
      </c>
      <c r="E11" s="188">
        <v>4.1528000000000002E-2</v>
      </c>
      <c r="F11" s="29"/>
      <c r="G11" s="29"/>
      <c r="H11" s="29"/>
      <c r="I11" s="29"/>
      <c r="J11" s="29"/>
      <c r="K11" s="29"/>
      <c r="L11" s="29"/>
      <c r="M11" s="29"/>
      <c r="N11" s="29"/>
      <c r="O11" s="29"/>
      <c r="P11" s="29"/>
      <c r="Q11" s="29"/>
      <c r="R11" s="29"/>
      <c r="S11" s="29"/>
      <c r="T11" s="29"/>
      <c r="U11" s="25"/>
      <c r="W11" s="171" t="s">
        <v>109</v>
      </c>
      <c r="X11" s="172">
        <v>6.5548000000000009E-2</v>
      </c>
    </row>
    <row r="12" spans="1:24" ht="15" customHeight="1" x14ac:dyDescent="0.25">
      <c r="B12" s="64"/>
      <c r="C12" s="197" t="s">
        <v>70</v>
      </c>
      <c r="D12" s="198" t="s">
        <v>12</v>
      </c>
      <c r="E12" s="188">
        <v>3.6761000000000002E-2</v>
      </c>
      <c r="F12" s="29"/>
      <c r="G12" s="29"/>
      <c r="H12" s="29"/>
      <c r="I12" s="29"/>
      <c r="J12" s="29"/>
      <c r="K12" s="29"/>
      <c r="L12" s="29"/>
      <c r="M12" s="29"/>
      <c r="N12" s="29"/>
      <c r="O12" s="29"/>
      <c r="P12" s="29"/>
      <c r="Q12" s="29"/>
      <c r="R12" s="29"/>
      <c r="S12" s="29"/>
      <c r="T12" s="29"/>
      <c r="U12" s="25"/>
      <c r="W12" s="171" t="s">
        <v>4</v>
      </c>
      <c r="X12" s="172">
        <v>5.9367999999999997E-2</v>
      </c>
    </row>
    <row r="13" spans="1:24" ht="15" customHeight="1" x14ac:dyDescent="0.25">
      <c r="B13" s="64"/>
      <c r="C13" s="197" t="s">
        <v>34</v>
      </c>
      <c r="D13" s="198" t="s">
        <v>23</v>
      </c>
      <c r="E13" s="188">
        <v>3.1848000000000001E-2</v>
      </c>
      <c r="F13" s="29"/>
      <c r="G13" s="29"/>
      <c r="H13" s="29"/>
      <c r="I13" s="29"/>
      <c r="J13" s="29"/>
      <c r="K13" s="29"/>
      <c r="L13" s="29"/>
      <c r="M13" s="29"/>
      <c r="N13" s="29"/>
      <c r="O13" s="29"/>
      <c r="P13" s="29"/>
      <c r="Q13" s="29"/>
      <c r="R13" s="29"/>
      <c r="S13" s="29"/>
      <c r="T13" s="29"/>
      <c r="U13" s="25"/>
      <c r="W13" s="171" t="s">
        <v>114</v>
      </c>
      <c r="X13" s="172">
        <v>4.4109999999999996E-2</v>
      </c>
    </row>
    <row r="14" spans="1:24" ht="15" customHeight="1" x14ac:dyDescent="0.25">
      <c r="B14" s="64"/>
      <c r="C14" s="197" t="s">
        <v>30</v>
      </c>
      <c r="D14" s="198" t="s">
        <v>114</v>
      </c>
      <c r="E14" s="188">
        <v>2.8726999999999999E-2</v>
      </c>
      <c r="F14" s="29"/>
      <c r="G14" s="29"/>
      <c r="H14" s="29"/>
      <c r="I14" s="29"/>
      <c r="J14" s="29"/>
      <c r="K14" s="29"/>
      <c r="L14" s="29"/>
      <c r="M14" s="29"/>
      <c r="N14" s="29"/>
      <c r="O14" s="29"/>
      <c r="P14" s="29"/>
      <c r="Q14" s="29"/>
      <c r="R14" s="29"/>
      <c r="S14" s="29"/>
      <c r="T14" s="29"/>
      <c r="U14" s="25"/>
      <c r="W14" s="171" t="s">
        <v>12</v>
      </c>
      <c r="X14" s="172">
        <v>3.6761000000000002E-2</v>
      </c>
    </row>
    <row r="15" spans="1:24" ht="15" customHeight="1" x14ac:dyDescent="0.25">
      <c r="B15" s="64"/>
      <c r="C15" s="197" t="s">
        <v>33</v>
      </c>
      <c r="D15" s="198" t="s">
        <v>104</v>
      </c>
      <c r="E15" s="188">
        <v>2.6112E-2</v>
      </c>
      <c r="F15" s="29"/>
      <c r="G15" s="29"/>
      <c r="H15" s="29"/>
      <c r="I15" s="29"/>
      <c r="J15" s="29"/>
      <c r="K15" s="29"/>
      <c r="L15" s="29"/>
      <c r="M15" s="29"/>
      <c r="N15" s="29"/>
      <c r="O15" s="29"/>
      <c r="P15" s="29"/>
      <c r="Q15" s="29"/>
      <c r="R15" s="29"/>
      <c r="S15" s="29"/>
      <c r="T15" s="29"/>
      <c r="U15" s="25"/>
      <c r="W15" s="171" t="s">
        <v>10</v>
      </c>
      <c r="X15" s="172">
        <v>3.5948000000000001E-2</v>
      </c>
    </row>
    <row r="16" spans="1:24" ht="15" customHeight="1" x14ac:dyDescent="0.25">
      <c r="B16" s="64"/>
      <c r="C16" s="197" t="s">
        <v>36</v>
      </c>
      <c r="D16" s="198" t="s">
        <v>3</v>
      </c>
      <c r="E16" s="188">
        <v>2.5148E-2</v>
      </c>
      <c r="F16" s="29"/>
      <c r="G16" s="29"/>
      <c r="H16" s="29"/>
      <c r="I16" s="29"/>
      <c r="J16" s="29"/>
      <c r="K16" s="29"/>
      <c r="L16" s="29"/>
      <c r="M16" s="29"/>
      <c r="N16" s="29"/>
      <c r="O16" s="29"/>
      <c r="P16" s="29"/>
      <c r="Q16" s="29"/>
      <c r="R16" s="29"/>
      <c r="S16" s="29"/>
      <c r="T16" s="29"/>
      <c r="U16" s="25"/>
      <c r="W16" s="171" t="s">
        <v>108</v>
      </c>
      <c r="X16" s="172">
        <v>3.5436000000000002E-2</v>
      </c>
    </row>
    <row r="17" spans="2:24" ht="15" customHeight="1" x14ac:dyDescent="0.25">
      <c r="B17" s="64"/>
      <c r="C17" s="197" t="s">
        <v>76</v>
      </c>
      <c r="D17" s="198" t="s">
        <v>3</v>
      </c>
      <c r="E17" s="188">
        <v>2.3037999999999999E-2</v>
      </c>
      <c r="F17" s="29"/>
      <c r="G17" s="29"/>
      <c r="H17" s="29"/>
      <c r="I17" s="29"/>
      <c r="J17" s="29"/>
      <c r="K17" s="29"/>
      <c r="L17" s="29"/>
      <c r="M17" s="29"/>
      <c r="N17" s="29"/>
      <c r="O17" s="29"/>
      <c r="P17" s="29"/>
      <c r="Q17" s="29"/>
      <c r="R17" s="29"/>
      <c r="S17" s="29"/>
      <c r="T17" s="29"/>
      <c r="U17" s="25"/>
      <c r="W17" s="171" t="s">
        <v>23</v>
      </c>
      <c r="X17" s="172">
        <v>3.1848000000000001E-2</v>
      </c>
    </row>
    <row r="18" spans="2:24" ht="15" customHeight="1" x14ac:dyDescent="0.25">
      <c r="B18" s="64"/>
      <c r="C18" s="197" t="s">
        <v>35</v>
      </c>
      <c r="D18" s="198" t="s">
        <v>3</v>
      </c>
      <c r="E18" s="188">
        <v>2.2519999999999998E-2</v>
      </c>
      <c r="F18" s="29"/>
      <c r="G18" s="29"/>
      <c r="H18" s="29"/>
      <c r="I18" s="29"/>
      <c r="J18" s="29"/>
      <c r="K18" s="29"/>
      <c r="L18" s="29"/>
      <c r="M18" s="29"/>
      <c r="N18" s="29"/>
      <c r="O18" s="29"/>
      <c r="P18" s="29"/>
      <c r="Q18" s="29"/>
      <c r="R18" s="29"/>
      <c r="S18" s="29"/>
      <c r="T18" s="29"/>
      <c r="U18" s="25"/>
      <c r="W18" s="171" t="s">
        <v>26</v>
      </c>
      <c r="X18" s="172">
        <v>3.0870999999999999E-2</v>
      </c>
    </row>
    <row r="19" spans="2:24" ht="15" customHeight="1" x14ac:dyDescent="0.25">
      <c r="B19" s="64"/>
      <c r="C19" s="197" t="s">
        <v>117</v>
      </c>
      <c r="D19" s="198" t="s">
        <v>109</v>
      </c>
      <c r="E19" s="188">
        <v>1.9473000000000001E-2</v>
      </c>
      <c r="F19" s="29"/>
      <c r="G19" s="29"/>
      <c r="H19" s="29"/>
      <c r="I19" s="29"/>
      <c r="J19" s="29"/>
      <c r="K19" s="29"/>
      <c r="L19" s="29"/>
      <c r="M19" s="29"/>
      <c r="N19" s="29"/>
      <c r="O19" s="29"/>
      <c r="P19" s="29"/>
      <c r="Q19" s="29"/>
      <c r="R19" s="29"/>
      <c r="S19" s="29"/>
      <c r="T19" s="29"/>
      <c r="U19" s="25"/>
      <c r="W19" s="171" t="s">
        <v>80</v>
      </c>
      <c r="X19" s="172">
        <v>2.2474000000000001E-2</v>
      </c>
    </row>
    <row r="20" spans="2:24" ht="15" customHeight="1" x14ac:dyDescent="0.25">
      <c r="B20" s="64"/>
      <c r="C20" s="197" t="s">
        <v>78</v>
      </c>
      <c r="D20" s="198" t="s">
        <v>4</v>
      </c>
      <c r="E20" s="188">
        <v>1.7721000000000001E-2</v>
      </c>
      <c r="F20" s="29"/>
      <c r="G20" s="29"/>
      <c r="H20" s="29"/>
      <c r="I20" s="29"/>
      <c r="J20" s="29"/>
      <c r="K20" s="29"/>
      <c r="L20" s="29"/>
      <c r="M20" s="29"/>
      <c r="N20" s="29"/>
      <c r="O20" s="29"/>
      <c r="P20" s="29"/>
      <c r="Q20" s="29"/>
      <c r="R20" s="29"/>
      <c r="S20" s="29"/>
      <c r="T20" s="29"/>
      <c r="U20" s="25"/>
      <c r="W20" s="171" t="s">
        <v>16</v>
      </c>
      <c r="X20" s="172">
        <v>2.1212000000000002E-2</v>
      </c>
    </row>
    <row r="21" spans="2:24" ht="15" customHeight="1" x14ac:dyDescent="0.25">
      <c r="B21" s="64"/>
      <c r="C21" s="197" t="s">
        <v>37</v>
      </c>
      <c r="D21" s="198" t="s">
        <v>114</v>
      </c>
      <c r="E21" s="188">
        <v>1.5383000000000001E-2</v>
      </c>
      <c r="F21" s="29"/>
      <c r="G21" s="29"/>
      <c r="H21" s="29"/>
      <c r="I21" s="29"/>
      <c r="J21" s="29"/>
      <c r="K21" s="29"/>
      <c r="L21" s="29"/>
      <c r="M21" s="29"/>
      <c r="N21" s="29"/>
      <c r="O21" s="29"/>
      <c r="P21" s="29"/>
      <c r="Q21" s="29"/>
      <c r="R21" s="29"/>
      <c r="S21" s="29"/>
      <c r="T21" s="29"/>
      <c r="U21" s="25"/>
      <c r="W21" s="171" t="s">
        <v>11</v>
      </c>
      <c r="X21" s="172">
        <v>1.9448E-2</v>
      </c>
    </row>
    <row r="22" spans="2:24" ht="15" customHeight="1" x14ac:dyDescent="0.25">
      <c r="B22" s="64"/>
      <c r="C22" s="197" t="s">
        <v>242</v>
      </c>
      <c r="D22" s="198" t="s">
        <v>108</v>
      </c>
      <c r="E22" s="188">
        <v>1.3351999999999999E-2</v>
      </c>
      <c r="F22" s="29"/>
      <c r="G22" s="29"/>
      <c r="H22" s="29"/>
      <c r="I22" s="29"/>
      <c r="J22" s="29"/>
      <c r="K22" s="29"/>
      <c r="L22" s="29"/>
      <c r="M22" s="29"/>
      <c r="N22" s="29"/>
      <c r="O22" s="29"/>
      <c r="P22" s="29"/>
      <c r="Q22" s="29"/>
      <c r="R22" s="29"/>
      <c r="S22" s="29"/>
      <c r="T22" s="29"/>
      <c r="U22" s="25"/>
      <c r="W22" s="171" t="s">
        <v>83</v>
      </c>
      <c r="X22" s="172">
        <v>1.8924999999999997E-2</v>
      </c>
    </row>
    <row r="23" spans="2:24" ht="15" customHeight="1" x14ac:dyDescent="0.25">
      <c r="B23" s="64"/>
      <c r="C23" s="71"/>
      <c r="D23" s="71"/>
      <c r="E23" s="72"/>
      <c r="F23" s="29"/>
      <c r="G23" s="29"/>
      <c r="H23" s="29"/>
      <c r="I23" s="29"/>
      <c r="J23" s="29"/>
      <c r="K23" s="29"/>
      <c r="L23" s="29"/>
      <c r="M23" s="29"/>
      <c r="N23" s="29"/>
      <c r="O23" s="29"/>
      <c r="P23" s="29"/>
      <c r="Q23" s="29"/>
      <c r="R23" s="29"/>
      <c r="S23" s="29"/>
      <c r="T23" s="29"/>
      <c r="U23" s="25"/>
      <c r="W23" s="171" t="s">
        <v>84</v>
      </c>
      <c r="X23" s="172">
        <v>1.7146000000000002E-2</v>
      </c>
    </row>
    <row r="24" spans="2:24" ht="15" customHeight="1" x14ac:dyDescent="0.25">
      <c r="B24" s="64"/>
      <c r="C24" s="73" t="s">
        <v>55</v>
      </c>
      <c r="D24" s="74"/>
      <c r="E24" s="75">
        <f>SUM(E8:E22)</f>
        <v>0.55723300000000009</v>
      </c>
      <c r="F24" s="29"/>
      <c r="G24" s="29"/>
      <c r="H24" s="29"/>
      <c r="I24" s="29"/>
      <c r="J24" s="29"/>
      <c r="K24" s="29"/>
      <c r="L24" s="29"/>
      <c r="M24" s="29"/>
      <c r="N24" s="29"/>
      <c r="O24" s="29"/>
      <c r="P24" s="29"/>
      <c r="Q24" s="29"/>
      <c r="R24" s="29"/>
      <c r="S24" s="29"/>
      <c r="T24" s="29"/>
      <c r="U24" s="25"/>
      <c r="W24" s="171" t="s">
        <v>105</v>
      </c>
      <c r="X24" s="172">
        <v>1.1141000000000002E-2</v>
      </c>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171" t="s">
        <v>116</v>
      </c>
      <c r="X25" s="172">
        <v>9.1559999999999992E-3</v>
      </c>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171" t="s">
        <v>103</v>
      </c>
      <c r="X26" s="172">
        <v>8.0260000000000001E-3</v>
      </c>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171" t="s">
        <v>127</v>
      </c>
      <c r="X27" s="172">
        <v>7.8059999999999996E-3</v>
      </c>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171" t="s">
        <v>121</v>
      </c>
      <c r="X28" s="172">
        <v>7.7200000000000003E-3</v>
      </c>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171" t="s">
        <v>13</v>
      </c>
      <c r="X29" s="172">
        <v>6.8640000000000003E-3</v>
      </c>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171" t="s">
        <v>15</v>
      </c>
      <c r="X30" s="172">
        <v>6.7710000000000001E-3</v>
      </c>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171" t="s">
        <v>110</v>
      </c>
      <c r="X31" s="172">
        <v>6.7189999999999993E-3</v>
      </c>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171" t="s">
        <v>128</v>
      </c>
      <c r="X32" s="172">
        <v>6.6620000000000004E-3</v>
      </c>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171" t="s">
        <v>118</v>
      </c>
      <c r="X33" s="172">
        <v>6.4559999999999999E-3</v>
      </c>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171" t="s">
        <v>130</v>
      </c>
      <c r="X34" s="172">
        <v>5.4559999999999999E-3</v>
      </c>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171" t="s">
        <v>107</v>
      </c>
      <c r="X35" s="172">
        <v>5.3349999999999995E-3</v>
      </c>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171" t="s">
        <v>112</v>
      </c>
      <c r="X36" s="172">
        <v>5.3179999999999998E-3</v>
      </c>
    </row>
    <row r="37" spans="2:24" ht="15" customHeight="1" x14ac:dyDescent="0.25">
      <c r="B37" s="64"/>
      <c r="C37" s="29"/>
      <c r="D37" s="29"/>
      <c r="E37" s="29"/>
      <c r="F37" s="29"/>
      <c r="G37" s="29"/>
      <c r="H37" s="29"/>
      <c r="I37" s="29"/>
      <c r="J37" s="29"/>
      <c r="K37" s="29"/>
      <c r="L37" s="29"/>
      <c r="M37" s="29"/>
      <c r="N37" s="29"/>
      <c r="O37" s="29"/>
      <c r="P37" s="29"/>
      <c r="Q37" s="29"/>
      <c r="R37" s="29"/>
      <c r="S37" s="29"/>
      <c r="T37" s="29"/>
      <c r="U37" s="25"/>
      <c r="W37" s="171" t="s">
        <v>74</v>
      </c>
      <c r="X37" s="172">
        <v>5.13E-3</v>
      </c>
    </row>
    <row r="38" spans="2:24" ht="15" customHeight="1" x14ac:dyDescent="0.25">
      <c r="B38" s="64"/>
      <c r="C38" s="29"/>
      <c r="D38" s="29"/>
      <c r="E38" s="29"/>
      <c r="F38" s="29"/>
      <c r="G38" s="29"/>
      <c r="H38" s="29"/>
      <c r="I38" s="29"/>
      <c r="J38" s="29"/>
      <c r="K38" s="29"/>
      <c r="L38" s="29"/>
      <c r="M38" s="29"/>
      <c r="N38" s="29"/>
      <c r="O38" s="29"/>
      <c r="P38" s="29"/>
      <c r="Q38" s="29"/>
      <c r="R38" s="29"/>
      <c r="S38" s="29"/>
      <c r="T38" s="29"/>
      <c r="U38" s="25"/>
      <c r="W38" s="171" t="s">
        <v>81</v>
      </c>
      <c r="X38" s="172">
        <v>4.9909999999999998E-3</v>
      </c>
    </row>
    <row r="39" spans="2:24" ht="15" customHeight="1" x14ac:dyDescent="0.25">
      <c r="B39" s="64"/>
      <c r="C39" s="29"/>
      <c r="D39" s="29"/>
      <c r="E39" s="29"/>
      <c r="F39" s="29"/>
      <c r="G39" s="29"/>
      <c r="H39" s="29"/>
      <c r="I39" s="29"/>
      <c r="J39" s="29"/>
      <c r="K39" s="29"/>
      <c r="L39" s="29"/>
      <c r="M39" s="29"/>
      <c r="N39" s="29"/>
      <c r="O39" s="29"/>
      <c r="P39" s="29"/>
      <c r="Q39" s="29"/>
      <c r="R39" s="29"/>
      <c r="S39" s="29"/>
      <c r="T39" s="29"/>
      <c r="U39" s="25"/>
      <c r="W39" s="171" t="s">
        <v>129</v>
      </c>
      <c r="X39" s="172">
        <v>4.8450000000000003E-3</v>
      </c>
    </row>
    <row r="40" spans="2:24" ht="15" customHeight="1" thickBot="1" x14ac:dyDescent="0.3">
      <c r="B40" s="76"/>
      <c r="C40" s="30"/>
      <c r="D40" s="30"/>
      <c r="E40" s="30"/>
      <c r="F40" s="30"/>
      <c r="G40" s="30"/>
      <c r="H40" s="30"/>
      <c r="I40" s="30"/>
      <c r="J40" s="30"/>
      <c r="K40" s="30"/>
      <c r="L40" s="30"/>
      <c r="M40" s="30"/>
      <c r="N40" s="30"/>
      <c r="O40" s="30"/>
      <c r="P40" s="30"/>
      <c r="Q40" s="30"/>
      <c r="R40" s="30"/>
      <c r="S40" s="30"/>
      <c r="T40" s="30"/>
      <c r="U40" s="26"/>
      <c r="W40" s="171" t="s">
        <v>25</v>
      </c>
      <c r="X40" s="172">
        <v>3.7789999999999998E-3</v>
      </c>
    </row>
    <row r="41" spans="2:24" ht="15" customHeight="1" thickBot="1" x14ac:dyDescent="0.3">
      <c r="W41" s="171" t="s">
        <v>113</v>
      </c>
      <c r="X41" s="172">
        <v>3.532E-3</v>
      </c>
    </row>
    <row r="42" spans="2:24" ht="15" customHeight="1" x14ac:dyDescent="0.25">
      <c r="B42" s="306" t="s">
        <v>177</v>
      </c>
      <c r="C42" s="307"/>
      <c r="D42" s="307"/>
      <c r="E42" s="307"/>
      <c r="F42" s="307"/>
      <c r="G42" s="307"/>
      <c r="H42" s="307"/>
      <c r="I42" s="307"/>
      <c r="J42" s="307"/>
      <c r="K42" s="307"/>
      <c r="L42" s="307"/>
      <c r="M42" s="307"/>
      <c r="N42" s="307"/>
      <c r="O42" s="307"/>
      <c r="P42" s="307"/>
      <c r="Q42" s="307"/>
      <c r="R42" s="308"/>
      <c r="W42" s="171"/>
      <c r="X42" s="172"/>
    </row>
    <row r="43" spans="2:24" ht="15" customHeight="1" x14ac:dyDescent="0.25">
      <c r="B43" s="309"/>
      <c r="C43" s="310"/>
      <c r="D43" s="310"/>
      <c r="E43" s="310"/>
      <c r="F43" s="310"/>
      <c r="G43" s="310"/>
      <c r="H43" s="310"/>
      <c r="I43" s="310"/>
      <c r="J43" s="310"/>
      <c r="K43" s="310"/>
      <c r="L43" s="310"/>
      <c r="M43" s="310"/>
      <c r="N43" s="310"/>
      <c r="O43" s="310"/>
      <c r="P43" s="310"/>
      <c r="Q43" s="310"/>
      <c r="R43" s="311"/>
      <c r="W43" s="171"/>
      <c r="X43" s="172"/>
    </row>
    <row r="44" spans="2:24" ht="15" customHeight="1" x14ac:dyDescent="0.25">
      <c r="B44" s="309"/>
      <c r="C44" s="310"/>
      <c r="D44" s="310"/>
      <c r="E44" s="310"/>
      <c r="F44" s="310"/>
      <c r="G44" s="310"/>
      <c r="H44" s="310"/>
      <c r="I44" s="310"/>
      <c r="J44" s="310"/>
      <c r="K44" s="310"/>
      <c r="L44" s="310"/>
      <c r="M44" s="310"/>
      <c r="N44" s="310"/>
      <c r="O44" s="310"/>
      <c r="P44" s="310"/>
      <c r="Q44" s="310"/>
      <c r="R44" s="311"/>
      <c r="W44" s="171"/>
      <c r="X44" s="172"/>
    </row>
    <row r="45" spans="2:24" ht="15" customHeight="1" x14ac:dyDescent="0.25">
      <c r="B45" s="309"/>
      <c r="C45" s="310"/>
      <c r="D45" s="310"/>
      <c r="E45" s="310"/>
      <c r="F45" s="310"/>
      <c r="G45" s="310"/>
      <c r="H45" s="310"/>
      <c r="I45" s="310"/>
      <c r="J45" s="310"/>
      <c r="K45" s="310"/>
      <c r="L45" s="310"/>
      <c r="M45" s="310"/>
      <c r="N45" s="310"/>
      <c r="O45" s="310"/>
      <c r="P45" s="310"/>
      <c r="Q45" s="310"/>
      <c r="R45" s="311"/>
    </row>
    <row r="46" spans="2:24" ht="15" customHeight="1" x14ac:dyDescent="0.25">
      <c r="B46" s="309"/>
      <c r="C46" s="310"/>
      <c r="D46" s="310"/>
      <c r="E46" s="310"/>
      <c r="F46" s="310"/>
      <c r="G46" s="310"/>
      <c r="H46" s="310"/>
      <c r="I46" s="310"/>
      <c r="J46" s="310"/>
      <c r="K46" s="310"/>
      <c r="L46" s="310"/>
      <c r="M46" s="310"/>
      <c r="N46" s="310"/>
      <c r="O46" s="310"/>
      <c r="P46" s="310"/>
      <c r="Q46" s="310"/>
      <c r="R46" s="311"/>
    </row>
    <row r="47" spans="2:24" ht="15" customHeight="1" x14ac:dyDescent="0.25">
      <c r="B47" s="309"/>
      <c r="C47" s="310"/>
      <c r="D47" s="310"/>
      <c r="E47" s="310"/>
      <c r="F47" s="310"/>
      <c r="G47" s="310"/>
      <c r="H47" s="310"/>
      <c r="I47" s="310"/>
      <c r="J47" s="310"/>
      <c r="K47" s="310"/>
      <c r="L47" s="310"/>
      <c r="M47" s="310"/>
      <c r="N47" s="310"/>
      <c r="O47" s="310"/>
      <c r="P47" s="310"/>
      <c r="Q47" s="310"/>
      <c r="R47" s="311"/>
    </row>
    <row r="48" spans="2:24" ht="15" customHeight="1" thickBot="1" x14ac:dyDescent="0.3">
      <c r="B48" s="312"/>
      <c r="C48" s="313"/>
      <c r="D48" s="313"/>
      <c r="E48" s="313"/>
      <c r="F48" s="313"/>
      <c r="G48" s="313"/>
      <c r="H48" s="313"/>
      <c r="I48" s="313"/>
      <c r="J48" s="313"/>
      <c r="K48" s="313"/>
      <c r="L48" s="313"/>
      <c r="M48" s="313"/>
      <c r="N48" s="313"/>
      <c r="O48" s="313"/>
      <c r="P48" s="313"/>
      <c r="Q48" s="313"/>
      <c r="R48" s="314"/>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sheetPr codeName="Sheet29"/>
  <dimension ref="A1:X45"/>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150</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415</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70</v>
      </c>
      <c r="D8" s="185" t="s">
        <v>12</v>
      </c>
      <c r="E8" s="186">
        <v>6.1850000000000002E-2</v>
      </c>
      <c r="F8" s="29"/>
      <c r="G8" s="29"/>
      <c r="H8" s="29"/>
      <c r="I8" s="29"/>
      <c r="J8" s="29"/>
      <c r="K8" s="29"/>
      <c r="L8" s="29"/>
      <c r="M8" s="29"/>
      <c r="N8" s="29"/>
      <c r="O8" s="29"/>
      <c r="P8" s="29"/>
      <c r="Q8" s="29"/>
      <c r="R8" s="29"/>
      <c r="S8" s="29"/>
      <c r="T8" s="29"/>
      <c r="U8" s="25"/>
      <c r="W8" s="61" t="s">
        <v>104</v>
      </c>
      <c r="X8" s="62">
        <v>0.22956099999999999</v>
      </c>
    </row>
    <row r="9" spans="1:24" ht="15.75" x14ac:dyDescent="0.25">
      <c r="B9" s="64"/>
      <c r="C9" s="180" t="s">
        <v>117</v>
      </c>
      <c r="D9" s="187" t="s">
        <v>109</v>
      </c>
      <c r="E9" s="188">
        <v>5.3316000000000002E-2</v>
      </c>
      <c r="F9" s="29"/>
      <c r="G9" s="29"/>
      <c r="H9" s="29"/>
      <c r="I9" s="29"/>
      <c r="J9" s="29"/>
      <c r="K9" s="29"/>
      <c r="L9" s="29"/>
      <c r="M9" s="29"/>
      <c r="N9" s="29"/>
      <c r="O9" s="29"/>
      <c r="P9" s="29"/>
      <c r="Q9" s="29"/>
      <c r="R9" s="29"/>
      <c r="S9" s="29"/>
      <c r="T9" s="29"/>
      <c r="U9" s="25"/>
      <c r="W9" s="61" t="s">
        <v>108</v>
      </c>
      <c r="X9" s="62">
        <v>0.13933100000000001</v>
      </c>
    </row>
    <row r="10" spans="1:24" ht="30" x14ac:dyDescent="0.25">
      <c r="B10" s="64"/>
      <c r="C10" s="180" t="s">
        <v>283</v>
      </c>
      <c r="D10" s="187" t="s">
        <v>108</v>
      </c>
      <c r="E10" s="188">
        <v>5.3097999999999999E-2</v>
      </c>
      <c r="F10" s="29"/>
      <c r="G10" s="29"/>
      <c r="H10" s="29"/>
      <c r="I10" s="29"/>
      <c r="J10" s="29"/>
      <c r="K10" s="29"/>
      <c r="L10" s="29"/>
      <c r="M10" s="29"/>
      <c r="N10" s="29"/>
      <c r="O10" s="29"/>
      <c r="P10" s="29"/>
      <c r="Q10" s="29"/>
      <c r="R10" s="29"/>
      <c r="S10" s="29"/>
      <c r="T10" s="29"/>
      <c r="U10" s="25"/>
      <c r="W10" s="61" t="s">
        <v>26</v>
      </c>
      <c r="X10" s="62">
        <v>0.12148600000000001</v>
      </c>
    </row>
    <row r="11" spans="1:24" ht="15.75" x14ac:dyDescent="0.25">
      <c r="B11" s="64"/>
      <c r="C11" s="180" t="s">
        <v>126</v>
      </c>
      <c r="D11" s="187" t="s">
        <v>84</v>
      </c>
      <c r="E11" s="188">
        <v>5.2977999999999997E-2</v>
      </c>
      <c r="F11" s="29"/>
      <c r="G11" s="29"/>
      <c r="H11" s="29"/>
      <c r="I11" s="29"/>
      <c r="J11" s="29"/>
      <c r="K11" s="29"/>
      <c r="L11" s="29"/>
      <c r="M11" s="29"/>
      <c r="N11" s="29"/>
      <c r="O11" s="29"/>
      <c r="P11" s="29"/>
      <c r="Q11" s="29"/>
      <c r="R11" s="29"/>
      <c r="S11" s="29"/>
      <c r="T11" s="29"/>
      <c r="U11" s="25"/>
      <c r="W11" s="61" t="s">
        <v>16</v>
      </c>
      <c r="X11" s="62">
        <v>7.5088000000000002E-2</v>
      </c>
    </row>
    <row r="12" spans="1:24" ht="15.75" x14ac:dyDescent="0.25">
      <c r="B12" s="64"/>
      <c r="C12" s="180" t="s">
        <v>232</v>
      </c>
      <c r="D12" s="187" t="s">
        <v>82</v>
      </c>
      <c r="E12" s="188">
        <v>5.0592999999999999E-2</v>
      </c>
      <c r="F12" s="29"/>
      <c r="G12" s="29"/>
      <c r="H12" s="29"/>
      <c r="I12" s="29"/>
      <c r="J12" s="29"/>
      <c r="K12" s="29"/>
      <c r="L12" s="29"/>
      <c r="M12" s="29"/>
      <c r="N12" s="29"/>
      <c r="O12" s="29"/>
      <c r="P12" s="29"/>
      <c r="Q12" s="29"/>
      <c r="R12" s="29"/>
      <c r="S12" s="29"/>
      <c r="T12" s="29"/>
      <c r="U12" s="25"/>
      <c r="W12" s="61" t="s">
        <v>12</v>
      </c>
      <c r="X12" s="62">
        <v>6.1850000000000002E-2</v>
      </c>
    </row>
    <row r="13" spans="1:24" ht="15.75" x14ac:dyDescent="0.25">
      <c r="B13" s="64"/>
      <c r="C13" s="180" t="s">
        <v>184</v>
      </c>
      <c r="D13" s="187" t="s">
        <v>104</v>
      </c>
      <c r="E13" s="188">
        <v>4.8785000000000002E-2</v>
      </c>
      <c r="F13" s="29"/>
      <c r="G13" s="29"/>
      <c r="H13" s="29"/>
      <c r="I13" s="29"/>
      <c r="J13" s="29"/>
      <c r="K13" s="29"/>
      <c r="L13" s="29"/>
      <c r="M13" s="29"/>
      <c r="N13" s="29"/>
      <c r="O13" s="29"/>
      <c r="P13" s="29"/>
      <c r="Q13" s="29"/>
      <c r="R13" s="29"/>
      <c r="S13" s="29"/>
      <c r="T13" s="29"/>
      <c r="U13" s="25"/>
      <c r="W13" s="61" t="s">
        <v>109</v>
      </c>
      <c r="X13" s="62">
        <v>5.3316000000000002E-2</v>
      </c>
    </row>
    <row r="14" spans="1:24" ht="30" x14ac:dyDescent="0.25">
      <c r="B14" s="64"/>
      <c r="C14" s="180" t="s">
        <v>242</v>
      </c>
      <c r="D14" s="187" t="s">
        <v>108</v>
      </c>
      <c r="E14" s="188">
        <v>4.8556000000000002E-2</v>
      </c>
      <c r="F14" s="29"/>
      <c r="G14" s="29"/>
      <c r="H14" s="29"/>
      <c r="I14" s="29"/>
      <c r="J14" s="29"/>
      <c r="K14" s="29"/>
      <c r="L14" s="29"/>
      <c r="M14" s="29"/>
      <c r="N14" s="29"/>
      <c r="O14" s="29"/>
      <c r="P14" s="29"/>
      <c r="Q14" s="29"/>
      <c r="R14" s="29"/>
      <c r="S14" s="29"/>
      <c r="T14" s="29"/>
      <c r="U14" s="25"/>
      <c r="W14" s="61" t="s">
        <v>84</v>
      </c>
      <c r="X14" s="62">
        <v>5.2977999999999997E-2</v>
      </c>
    </row>
    <row r="15" spans="1:24" ht="15.75" x14ac:dyDescent="0.25">
      <c r="B15" s="64"/>
      <c r="C15" s="180" t="s">
        <v>367</v>
      </c>
      <c r="D15" s="187" t="s">
        <v>26</v>
      </c>
      <c r="E15" s="188">
        <v>4.6489999999999997E-2</v>
      </c>
      <c r="F15" s="29"/>
      <c r="G15" s="29"/>
      <c r="H15" s="29"/>
      <c r="I15" s="29"/>
      <c r="J15" s="29"/>
      <c r="K15" s="29"/>
      <c r="L15" s="29"/>
      <c r="M15" s="29"/>
      <c r="N15" s="29"/>
      <c r="O15" s="29"/>
      <c r="P15" s="29"/>
      <c r="Q15" s="29"/>
      <c r="R15" s="29"/>
      <c r="S15" s="29"/>
      <c r="T15" s="29"/>
      <c r="U15" s="25"/>
      <c r="W15" s="61" t="s">
        <v>82</v>
      </c>
      <c r="X15" s="62">
        <v>5.0592999999999999E-2</v>
      </c>
    </row>
    <row r="16" spans="1:24" ht="15.75" x14ac:dyDescent="0.25">
      <c r="B16" s="64"/>
      <c r="C16" s="180" t="s">
        <v>185</v>
      </c>
      <c r="D16" s="187" t="s">
        <v>104</v>
      </c>
      <c r="E16" s="188">
        <v>4.589E-2</v>
      </c>
      <c r="F16" s="29"/>
      <c r="G16" s="29"/>
      <c r="H16" s="29"/>
      <c r="I16" s="29"/>
      <c r="J16" s="29"/>
      <c r="K16" s="29"/>
      <c r="L16" s="29"/>
      <c r="M16" s="29"/>
      <c r="N16" s="29"/>
      <c r="O16" s="29"/>
      <c r="P16" s="29"/>
      <c r="Q16" s="29"/>
      <c r="R16" s="29"/>
      <c r="S16" s="29"/>
      <c r="T16" s="29"/>
      <c r="U16" s="25"/>
      <c r="W16" s="61" t="s">
        <v>179</v>
      </c>
      <c r="X16" s="62">
        <v>4.6367000000000005E-2</v>
      </c>
    </row>
    <row r="17" spans="2:24" ht="15.75" x14ac:dyDescent="0.25">
      <c r="B17" s="64"/>
      <c r="C17" s="180" t="s">
        <v>28</v>
      </c>
      <c r="D17" s="187" t="s">
        <v>104</v>
      </c>
      <c r="E17" s="188">
        <v>4.3664000000000001E-2</v>
      </c>
      <c r="F17" s="29"/>
      <c r="G17" s="29"/>
      <c r="H17" s="29"/>
      <c r="I17" s="29"/>
      <c r="J17" s="29"/>
      <c r="K17" s="29"/>
      <c r="L17" s="29"/>
      <c r="M17" s="29"/>
      <c r="N17" s="29"/>
      <c r="O17" s="29"/>
      <c r="P17" s="29"/>
      <c r="Q17" s="29"/>
      <c r="R17" s="29"/>
      <c r="S17" s="29"/>
      <c r="T17" s="29"/>
      <c r="U17" s="25"/>
      <c r="W17" s="61" t="s">
        <v>81</v>
      </c>
      <c r="X17" s="62">
        <v>3.9583E-2</v>
      </c>
    </row>
    <row r="18" spans="2:24" ht="15.75" x14ac:dyDescent="0.25">
      <c r="B18" s="64"/>
      <c r="C18" s="180" t="s">
        <v>226</v>
      </c>
      <c r="D18" s="187" t="s">
        <v>16</v>
      </c>
      <c r="E18" s="188">
        <v>4.3409000000000003E-2</v>
      </c>
      <c r="F18" s="29"/>
      <c r="G18" s="29"/>
      <c r="H18" s="29"/>
      <c r="I18" s="29"/>
      <c r="J18" s="29"/>
      <c r="K18" s="29"/>
      <c r="L18" s="29"/>
      <c r="M18" s="29"/>
      <c r="N18" s="29"/>
      <c r="O18" s="29"/>
      <c r="P18" s="29"/>
      <c r="Q18" s="29"/>
      <c r="R18" s="29"/>
      <c r="S18" s="29"/>
      <c r="T18" s="29"/>
      <c r="U18" s="25"/>
      <c r="W18" s="61" t="s">
        <v>107</v>
      </c>
      <c r="X18" s="62">
        <v>2.7630999999999999E-2</v>
      </c>
    </row>
    <row r="19" spans="2:24" ht="15.75" x14ac:dyDescent="0.25">
      <c r="B19" s="64"/>
      <c r="C19" s="180" t="s">
        <v>135</v>
      </c>
      <c r="D19" s="187" t="s">
        <v>26</v>
      </c>
      <c r="E19" s="188">
        <v>4.2581000000000001E-2</v>
      </c>
      <c r="F19" s="29"/>
      <c r="G19" s="29"/>
      <c r="H19" s="29"/>
      <c r="I19" s="29"/>
      <c r="J19" s="29"/>
      <c r="K19" s="29"/>
      <c r="L19" s="29"/>
      <c r="M19" s="29"/>
      <c r="N19" s="29"/>
      <c r="O19" s="29"/>
      <c r="P19" s="29"/>
      <c r="Q19" s="29"/>
      <c r="R19" s="29"/>
      <c r="S19" s="29"/>
      <c r="T19" s="29"/>
      <c r="U19" s="25"/>
      <c r="W19" s="61" t="s">
        <v>130</v>
      </c>
      <c r="X19" s="62">
        <v>2.6313E-2</v>
      </c>
    </row>
    <row r="20" spans="2:24" ht="15.75" x14ac:dyDescent="0.25">
      <c r="B20" s="64"/>
      <c r="C20" s="180" t="s">
        <v>181</v>
      </c>
      <c r="D20" s="187" t="s">
        <v>104</v>
      </c>
      <c r="E20" s="188">
        <v>4.2033000000000001E-2</v>
      </c>
      <c r="F20" s="29"/>
      <c r="G20" s="29"/>
      <c r="H20" s="29"/>
      <c r="I20" s="29"/>
      <c r="J20" s="29"/>
      <c r="K20" s="29"/>
      <c r="L20" s="29"/>
      <c r="M20" s="29"/>
      <c r="N20" s="29"/>
      <c r="O20" s="29"/>
      <c r="P20" s="29"/>
      <c r="Q20" s="29"/>
      <c r="R20" s="29"/>
      <c r="S20" s="29"/>
      <c r="T20" s="29"/>
      <c r="U20" s="25"/>
      <c r="W20" s="61" t="s">
        <v>103</v>
      </c>
      <c r="X20" s="62">
        <v>2.2314000000000001E-2</v>
      </c>
    </row>
    <row r="21" spans="2:24" ht="15.75" x14ac:dyDescent="0.25">
      <c r="B21" s="64"/>
      <c r="C21" s="180" t="s">
        <v>91</v>
      </c>
      <c r="D21" s="187" t="s">
        <v>81</v>
      </c>
      <c r="E21" s="188">
        <v>3.9583E-2</v>
      </c>
      <c r="F21" s="29"/>
      <c r="G21" s="29"/>
      <c r="H21" s="29"/>
      <c r="I21" s="29"/>
      <c r="J21" s="29"/>
      <c r="K21" s="29"/>
      <c r="L21" s="29"/>
      <c r="M21" s="29"/>
      <c r="N21" s="29"/>
      <c r="O21" s="29"/>
      <c r="P21" s="29"/>
      <c r="Q21" s="29"/>
      <c r="R21" s="29"/>
      <c r="S21" s="29"/>
      <c r="T21" s="29"/>
      <c r="U21" s="25"/>
      <c r="W21" s="61" t="s">
        <v>116</v>
      </c>
      <c r="X21" s="62">
        <v>2.1879999999999997E-2</v>
      </c>
    </row>
    <row r="22" spans="2:24" ht="15.75" x14ac:dyDescent="0.25">
      <c r="B22" s="64"/>
      <c r="C22" s="180" t="s">
        <v>186</v>
      </c>
      <c r="D22" s="187" t="s">
        <v>104</v>
      </c>
      <c r="E22" s="188">
        <v>3.4934E-2</v>
      </c>
      <c r="F22" s="29"/>
      <c r="G22" s="29"/>
      <c r="H22" s="29"/>
      <c r="I22" s="29"/>
      <c r="J22" s="29"/>
      <c r="K22" s="29"/>
      <c r="L22" s="29"/>
      <c r="M22" s="29"/>
      <c r="N22" s="29"/>
      <c r="O22" s="29"/>
      <c r="P22" s="29"/>
      <c r="Q22" s="29"/>
      <c r="R22" s="29"/>
      <c r="S22" s="29"/>
      <c r="T22" s="29"/>
      <c r="U22" s="25"/>
      <c r="W22" s="61" t="s">
        <v>3</v>
      </c>
      <c r="X22" s="62">
        <v>2.1134E-2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13</v>
      </c>
      <c r="X23" s="62">
        <v>9.9419999999999994E-3</v>
      </c>
    </row>
    <row r="24" spans="2:24" ht="15.75" x14ac:dyDescent="0.25">
      <c r="B24" s="64"/>
      <c r="C24" s="73" t="s">
        <v>55</v>
      </c>
      <c r="D24" s="74"/>
      <c r="E24" s="75">
        <f>SUM(E8:E22)</f>
        <v>0.70776000000000006</v>
      </c>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306" t="s">
        <v>177</v>
      </c>
      <c r="C39" s="307"/>
      <c r="D39" s="307"/>
      <c r="E39" s="307"/>
      <c r="F39" s="307"/>
      <c r="G39" s="307"/>
      <c r="H39" s="307"/>
      <c r="I39" s="307"/>
      <c r="J39" s="307"/>
      <c r="K39" s="307"/>
      <c r="L39" s="307"/>
      <c r="M39" s="307"/>
      <c r="N39" s="307"/>
      <c r="O39" s="307"/>
      <c r="P39" s="307"/>
      <c r="Q39" s="307"/>
      <c r="R39" s="308"/>
      <c r="W39" s="61"/>
      <c r="X39" s="62"/>
    </row>
    <row r="40" spans="2:24" x14ac:dyDescent="0.25">
      <c r="B40" s="309"/>
      <c r="C40" s="310"/>
      <c r="D40" s="310"/>
      <c r="E40" s="310"/>
      <c r="F40" s="310"/>
      <c r="G40" s="310"/>
      <c r="H40" s="310"/>
      <c r="I40" s="310"/>
      <c r="J40" s="310"/>
      <c r="K40" s="310"/>
      <c r="L40" s="310"/>
      <c r="M40" s="310"/>
      <c r="N40" s="310"/>
      <c r="O40" s="310"/>
      <c r="P40" s="310"/>
      <c r="Q40" s="310"/>
      <c r="R40" s="311"/>
      <c r="W40" s="61"/>
      <c r="X40" s="62"/>
    </row>
    <row r="41" spans="2:24" x14ac:dyDescent="0.25">
      <c r="B41" s="309"/>
      <c r="C41" s="310"/>
      <c r="D41" s="310"/>
      <c r="E41" s="310"/>
      <c r="F41" s="310"/>
      <c r="G41" s="310"/>
      <c r="H41" s="310"/>
      <c r="I41" s="310"/>
      <c r="J41" s="310"/>
      <c r="K41" s="310"/>
      <c r="L41" s="310"/>
      <c r="M41" s="310"/>
      <c r="N41" s="310"/>
      <c r="O41" s="310"/>
      <c r="P41" s="310"/>
      <c r="Q41" s="310"/>
      <c r="R41" s="311"/>
      <c r="W41" s="61"/>
      <c r="X41" s="62"/>
    </row>
    <row r="42" spans="2:24" x14ac:dyDescent="0.25">
      <c r="B42" s="309"/>
      <c r="C42" s="310"/>
      <c r="D42" s="310"/>
      <c r="E42" s="310"/>
      <c r="F42" s="310"/>
      <c r="G42" s="310"/>
      <c r="H42" s="310"/>
      <c r="I42" s="310"/>
      <c r="J42" s="310"/>
      <c r="K42" s="310"/>
      <c r="L42" s="310"/>
      <c r="M42" s="310"/>
      <c r="N42" s="310"/>
      <c r="O42" s="310"/>
      <c r="P42" s="310"/>
      <c r="Q42" s="310"/>
      <c r="R42" s="311"/>
      <c r="W42" s="61"/>
      <c r="X42" s="62"/>
    </row>
    <row r="43" spans="2:24" x14ac:dyDescent="0.25">
      <c r="B43" s="309"/>
      <c r="C43" s="310"/>
      <c r="D43" s="310"/>
      <c r="E43" s="310"/>
      <c r="F43" s="310"/>
      <c r="G43" s="310"/>
      <c r="H43" s="310"/>
      <c r="I43" s="310"/>
      <c r="J43" s="310"/>
      <c r="K43" s="310"/>
      <c r="L43" s="310"/>
      <c r="M43" s="310"/>
      <c r="N43" s="310"/>
      <c r="O43" s="310"/>
      <c r="P43" s="310"/>
      <c r="Q43" s="310"/>
      <c r="R43" s="311"/>
    </row>
    <row r="44" spans="2:24" x14ac:dyDescent="0.25">
      <c r="B44" s="309"/>
      <c r="C44" s="310"/>
      <c r="D44" s="310"/>
      <c r="E44" s="310"/>
      <c r="F44" s="310"/>
      <c r="G44" s="310"/>
      <c r="H44" s="310"/>
      <c r="I44" s="310"/>
      <c r="J44" s="310"/>
      <c r="K44" s="310"/>
      <c r="L44" s="310"/>
      <c r="M44" s="310"/>
      <c r="N44" s="310"/>
      <c r="O44" s="310"/>
      <c r="P44" s="310"/>
      <c r="Q44" s="310"/>
      <c r="R44" s="311"/>
    </row>
    <row r="45" spans="2:24" ht="15.75" thickBot="1" x14ac:dyDescent="0.3">
      <c r="B45" s="312"/>
      <c r="C45" s="313"/>
      <c r="D45" s="313"/>
      <c r="E45" s="313"/>
      <c r="F45" s="313"/>
      <c r="G45" s="313"/>
      <c r="H45" s="313"/>
      <c r="I45" s="313"/>
      <c r="J45" s="313"/>
      <c r="K45" s="313"/>
      <c r="L45" s="313"/>
      <c r="M45" s="313"/>
      <c r="N45" s="313"/>
      <c r="O45" s="313"/>
      <c r="P45" s="313"/>
      <c r="Q45" s="313"/>
      <c r="R45" s="314"/>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sheetPr codeName="Sheet30"/>
  <dimension ref="A1:X45"/>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149</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416</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272</v>
      </c>
      <c r="D8" s="185" t="s">
        <v>105</v>
      </c>
      <c r="E8" s="186">
        <v>4.0210000000000003E-2</v>
      </c>
      <c r="F8" s="29"/>
      <c r="G8" s="29"/>
      <c r="H8" s="29"/>
      <c r="I8" s="29"/>
      <c r="J8" s="29"/>
      <c r="K8" s="29"/>
      <c r="L8" s="29"/>
      <c r="M8" s="29"/>
      <c r="N8" s="29"/>
      <c r="O8" s="29"/>
      <c r="P8" s="29"/>
      <c r="Q8" s="29"/>
      <c r="R8" s="29"/>
      <c r="S8" s="29"/>
      <c r="T8" s="29"/>
      <c r="U8" s="25"/>
      <c r="W8" s="173" t="s">
        <v>108</v>
      </c>
      <c r="X8" s="172">
        <v>0.131606</v>
      </c>
    </row>
    <row r="9" spans="1:24" ht="15.75" x14ac:dyDescent="0.25">
      <c r="B9" s="64"/>
      <c r="C9" s="180" t="s">
        <v>85</v>
      </c>
      <c r="D9" s="187" t="s">
        <v>105</v>
      </c>
      <c r="E9" s="188">
        <v>3.9628999999999998E-2</v>
      </c>
      <c r="F9" s="29"/>
      <c r="G9" s="29"/>
      <c r="H9" s="29"/>
      <c r="I9" s="29"/>
      <c r="J9" s="29"/>
      <c r="K9" s="29"/>
      <c r="L9" s="29"/>
      <c r="M9" s="29"/>
      <c r="N9" s="29"/>
      <c r="O9" s="29"/>
      <c r="P9" s="29"/>
      <c r="Q9" s="29"/>
      <c r="R9" s="29"/>
      <c r="S9" s="29"/>
      <c r="T9" s="29"/>
      <c r="U9" s="25"/>
      <c r="W9" s="173" t="s">
        <v>104</v>
      </c>
      <c r="X9" s="172">
        <v>0.118376</v>
      </c>
    </row>
    <row r="10" spans="1:24" ht="15.75" x14ac:dyDescent="0.25">
      <c r="B10" s="64"/>
      <c r="C10" s="180" t="s">
        <v>32</v>
      </c>
      <c r="D10" s="187" t="s">
        <v>3</v>
      </c>
      <c r="E10" s="188">
        <v>3.9509000000000002E-2</v>
      </c>
      <c r="F10" s="29"/>
      <c r="G10" s="29"/>
      <c r="H10" s="29"/>
      <c r="I10" s="29"/>
      <c r="J10" s="29"/>
      <c r="K10" s="29"/>
      <c r="L10" s="29"/>
      <c r="M10" s="29"/>
      <c r="N10" s="29"/>
      <c r="O10" s="29"/>
      <c r="P10" s="29"/>
      <c r="Q10" s="29"/>
      <c r="R10" s="29"/>
      <c r="S10" s="29"/>
      <c r="T10" s="29"/>
      <c r="U10" s="25"/>
      <c r="W10" s="173" t="s">
        <v>3</v>
      </c>
      <c r="X10" s="172">
        <v>0.106155</v>
      </c>
    </row>
    <row r="11" spans="1:24" ht="15.75" x14ac:dyDescent="0.25">
      <c r="B11" s="64"/>
      <c r="C11" s="180" t="s">
        <v>30</v>
      </c>
      <c r="D11" s="187" t="s">
        <v>114</v>
      </c>
      <c r="E11" s="188">
        <v>3.9107999999999997E-2</v>
      </c>
      <c r="F11" s="29"/>
      <c r="G11" s="29"/>
      <c r="H11" s="29"/>
      <c r="I11" s="29"/>
      <c r="J11" s="29"/>
      <c r="K11" s="29"/>
      <c r="L11" s="29"/>
      <c r="M11" s="29"/>
      <c r="N11" s="29"/>
      <c r="O11" s="29"/>
      <c r="P11" s="29"/>
      <c r="Q11" s="29"/>
      <c r="R11" s="29"/>
      <c r="S11" s="29"/>
      <c r="T11" s="29"/>
      <c r="U11" s="25"/>
      <c r="W11" s="173" t="s">
        <v>109</v>
      </c>
      <c r="X11" s="172">
        <v>9.6731999999999985E-2</v>
      </c>
    </row>
    <row r="12" spans="1:24" ht="15.75" x14ac:dyDescent="0.25">
      <c r="B12" s="64"/>
      <c r="C12" s="180" t="s">
        <v>29</v>
      </c>
      <c r="D12" s="187" t="s">
        <v>3</v>
      </c>
      <c r="E12" s="188">
        <v>3.8774000000000003E-2</v>
      </c>
      <c r="F12" s="29"/>
      <c r="G12" s="29"/>
      <c r="H12" s="29"/>
      <c r="I12" s="29"/>
      <c r="J12" s="29"/>
      <c r="K12" s="29"/>
      <c r="L12" s="29"/>
      <c r="M12" s="29"/>
      <c r="N12" s="29"/>
      <c r="O12" s="29"/>
      <c r="P12" s="29"/>
      <c r="Q12" s="29"/>
      <c r="R12" s="29"/>
      <c r="S12" s="29"/>
      <c r="T12" s="29"/>
      <c r="U12" s="25"/>
      <c r="W12" s="173" t="s">
        <v>105</v>
      </c>
      <c r="X12" s="172">
        <v>7.9838999999999993E-2</v>
      </c>
    </row>
    <row r="13" spans="1:24" ht="30" x14ac:dyDescent="0.25">
      <c r="B13" s="64"/>
      <c r="C13" s="180" t="s">
        <v>139</v>
      </c>
      <c r="D13" s="187" t="s">
        <v>108</v>
      </c>
      <c r="E13" s="188">
        <v>3.8011000000000003E-2</v>
      </c>
      <c r="F13" s="29"/>
      <c r="G13" s="29"/>
      <c r="H13" s="29"/>
      <c r="I13" s="29"/>
      <c r="J13" s="29"/>
      <c r="K13" s="29"/>
      <c r="L13" s="29"/>
      <c r="M13" s="29"/>
      <c r="N13" s="29"/>
      <c r="O13" s="29"/>
      <c r="P13" s="29"/>
      <c r="Q13" s="29"/>
      <c r="R13" s="29"/>
      <c r="S13" s="29"/>
      <c r="T13" s="29"/>
      <c r="U13" s="25"/>
      <c r="W13" s="173" t="s">
        <v>114</v>
      </c>
      <c r="X13" s="172">
        <v>7.6468999999999995E-2</v>
      </c>
    </row>
    <row r="14" spans="1:24" ht="15.75" x14ac:dyDescent="0.25">
      <c r="B14" s="64"/>
      <c r="C14" s="180" t="s">
        <v>31</v>
      </c>
      <c r="D14" s="187" t="s">
        <v>6</v>
      </c>
      <c r="E14" s="188">
        <v>3.7484000000000003E-2</v>
      </c>
      <c r="F14" s="29"/>
      <c r="G14" s="29"/>
      <c r="H14" s="29"/>
      <c r="I14" s="29"/>
      <c r="J14" s="29"/>
      <c r="K14" s="29"/>
      <c r="L14" s="29"/>
      <c r="M14" s="29"/>
      <c r="N14" s="29"/>
      <c r="O14" s="29"/>
      <c r="P14" s="29"/>
      <c r="Q14" s="29"/>
      <c r="R14" s="29"/>
      <c r="S14" s="29"/>
      <c r="T14" s="29"/>
      <c r="U14" s="25"/>
      <c r="W14" s="173" t="s">
        <v>16</v>
      </c>
      <c r="X14" s="172">
        <v>6.8994E-2</v>
      </c>
    </row>
    <row r="15" spans="1:24" ht="15.75" x14ac:dyDescent="0.25">
      <c r="B15" s="64"/>
      <c r="C15" s="180" t="s">
        <v>37</v>
      </c>
      <c r="D15" s="187" t="s">
        <v>114</v>
      </c>
      <c r="E15" s="188">
        <v>3.7360999999999998E-2</v>
      </c>
      <c r="F15" s="29"/>
      <c r="G15" s="29"/>
      <c r="H15" s="29"/>
      <c r="I15" s="29"/>
      <c r="J15" s="29"/>
      <c r="K15" s="29"/>
      <c r="L15" s="29"/>
      <c r="M15" s="29"/>
      <c r="N15" s="29"/>
      <c r="O15" s="29"/>
      <c r="P15" s="29"/>
      <c r="Q15" s="29"/>
      <c r="R15" s="29"/>
      <c r="S15" s="29"/>
      <c r="T15" s="29"/>
      <c r="U15" s="25"/>
      <c r="W15" s="173" t="s">
        <v>6</v>
      </c>
      <c r="X15" s="172">
        <v>3.7484000000000003E-2</v>
      </c>
    </row>
    <row r="16" spans="1:24" ht="15.75" x14ac:dyDescent="0.25">
      <c r="B16" s="64"/>
      <c r="C16" s="180" t="s">
        <v>343</v>
      </c>
      <c r="D16" s="187" t="s">
        <v>83</v>
      </c>
      <c r="E16" s="188">
        <v>3.5969000000000001E-2</v>
      </c>
      <c r="F16" s="29"/>
      <c r="G16" s="29"/>
      <c r="H16" s="29"/>
      <c r="I16" s="29"/>
      <c r="J16" s="29"/>
      <c r="K16" s="29"/>
      <c r="L16" s="29"/>
      <c r="M16" s="29"/>
      <c r="N16" s="29"/>
      <c r="O16" s="29"/>
      <c r="P16" s="29"/>
      <c r="Q16" s="29"/>
      <c r="R16" s="29"/>
      <c r="S16" s="29"/>
      <c r="T16" s="29"/>
      <c r="U16" s="25"/>
      <c r="W16" s="173" t="s">
        <v>83</v>
      </c>
      <c r="X16" s="172">
        <v>3.5969000000000001E-2</v>
      </c>
    </row>
    <row r="17" spans="2:24" ht="30" x14ac:dyDescent="0.25">
      <c r="B17" s="64"/>
      <c r="C17" s="180" t="s">
        <v>242</v>
      </c>
      <c r="D17" s="187" t="s">
        <v>108</v>
      </c>
      <c r="E17" s="188">
        <v>3.5706000000000002E-2</v>
      </c>
      <c r="F17" s="29"/>
      <c r="G17" s="29"/>
      <c r="H17" s="29"/>
      <c r="I17" s="29"/>
      <c r="J17" s="29"/>
      <c r="K17" s="29"/>
      <c r="L17" s="29"/>
      <c r="M17" s="29"/>
      <c r="N17" s="29"/>
      <c r="O17" s="29"/>
      <c r="P17" s="29"/>
      <c r="Q17" s="29"/>
      <c r="R17" s="29"/>
      <c r="S17" s="29"/>
      <c r="T17" s="29"/>
      <c r="U17" s="25"/>
      <c r="W17" s="173" t="s">
        <v>74</v>
      </c>
      <c r="X17" s="172">
        <v>3.4032E-2</v>
      </c>
    </row>
    <row r="18" spans="2:24" ht="15.75" x14ac:dyDescent="0.25">
      <c r="B18" s="64"/>
      <c r="C18" s="180" t="s">
        <v>348</v>
      </c>
      <c r="D18" s="187" t="s">
        <v>16</v>
      </c>
      <c r="E18" s="188">
        <v>3.5437000000000003E-2</v>
      </c>
      <c r="F18" s="29"/>
      <c r="G18" s="29"/>
      <c r="H18" s="29"/>
      <c r="I18" s="29"/>
      <c r="J18" s="29"/>
      <c r="K18" s="29"/>
      <c r="L18" s="29"/>
      <c r="M18" s="29"/>
      <c r="N18" s="29"/>
      <c r="O18" s="29"/>
      <c r="P18" s="29"/>
      <c r="Q18" s="29"/>
      <c r="R18" s="29"/>
      <c r="S18" s="29"/>
      <c r="T18" s="29"/>
      <c r="U18" s="25"/>
      <c r="W18" s="173" t="s">
        <v>12</v>
      </c>
      <c r="X18" s="172">
        <v>3.3730000000000003E-2</v>
      </c>
    </row>
    <row r="19" spans="2:24" ht="15.75" x14ac:dyDescent="0.25">
      <c r="B19" s="64"/>
      <c r="C19" s="180" t="s">
        <v>141</v>
      </c>
      <c r="D19" s="187" t="s">
        <v>109</v>
      </c>
      <c r="E19" s="188">
        <v>3.5261000000000001E-2</v>
      </c>
      <c r="F19" s="29"/>
      <c r="G19" s="29"/>
      <c r="H19" s="29"/>
      <c r="I19" s="29"/>
      <c r="J19" s="29"/>
      <c r="K19" s="29"/>
      <c r="L19" s="29"/>
      <c r="M19" s="29"/>
      <c r="N19" s="29"/>
      <c r="O19" s="29"/>
      <c r="P19" s="29"/>
      <c r="Q19" s="29"/>
      <c r="R19" s="29"/>
      <c r="S19" s="29"/>
      <c r="T19" s="29"/>
      <c r="U19" s="25"/>
      <c r="W19" s="173" t="s">
        <v>107</v>
      </c>
      <c r="X19" s="172">
        <v>3.2938000000000002E-2</v>
      </c>
    </row>
    <row r="20" spans="2:24" ht="15.75" x14ac:dyDescent="0.25">
      <c r="B20" s="64"/>
      <c r="C20" s="180" t="s">
        <v>277</v>
      </c>
      <c r="D20" s="187" t="s">
        <v>74</v>
      </c>
      <c r="E20" s="188">
        <v>3.4032E-2</v>
      </c>
      <c r="F20" s="29"/>
      <c r="G20" s="29"/>
      <c r="H20" s="29"/>
      <c r="I20" s="29"/>
      <c r="J20" s="29"/>
      <c r="K20" s="29"/>
      <c r="L20" s="29"/>
      <c r="M20" s="29"/>
      <c r="N20" s="29"/>
      <c r="O20" s="29"/>
      <c r="P20" s="29"/>
      <c r="Q20" s="29"/>
      <c r="R20" s="29"/>
      <c r="S20" s="29"/>
      <c r="T20" s="29"/>
      <c r="U20" s="25"/>
      <c r="W20" s="173" t="s">
        <v>113</v>
      </c>
      <c r="X20" s="172">
        <v>3.1675000000000002E-2</v>
      </c>
    </row>
    <row r="21" spans="2:24" ht="15.75" x14ac:dyDescent="0.25">
      <c r="B21" s="64"/>
      <c r="C21" s="180" t="s">
        <v>70</v>
      </c>
      <c r="D21" s="187" t="s">
        <v>12</v>
      </c>
      <c r="E21" s="188">
        <v>3.3730000000000003E-2</v>
      </c>
      <c r="F21" s="29"/>
      <c r="G21" s="29"/>
      <c r="H21" s="29"/>
      <c r="I21" s="29"/>
      <c r="J21" s="29"/>
      <c r="K21" s="29"/>
      <c r="L21" s="29"/>
      <c r="M21" s="29"/>
      <c r="N21" s="29"/>
      <c r="O21" s="29"/>
      <c r="P21" s="29"/>
      <c r="Q21" s="29"/>
      <c r="R21" s="29"/>
      <c r="S21" s="29"/>
      <c r="T21" s="29"/>
      <c r="U21" s="25"/>
      <c r="W21" s="173" t="s">
        <v>4</v>
      </c>
      <c r="X21" s="172">
        <v>3.1192000000000001E-2</v>
      </c>
    </row>
    <row r="22" spans="2:24" ht="15.75" x14ac:dyDescent="0.25">
      <c r="B22" s="64"/>
      <c r="C22" s="180" t="s">
        <v>229</v>
      </c>
      <c r="D22" s="187" t="s">
        <v>16</v>
      </c>
      <c r="E22" s="188">
        <v>3.3556999999999997E-2</v>
      </c>
      <c r="F22" s="29"/>
      <c r="G22" s="29"/>
      <c r="H22" s="29"/>
      <c r="I22" s="29"/>
      <c r="J22" s="29"/>
      <c r="K22" s="29"/>
      <c r="L22" s="29"/>
      <c r="M22" s="29"/>
      <c r="N22" s="29"/>
      <c r="O22" s="29"/>
      <c r="P22" s="29"/>
      <c r="Q22" s="29"/>
      <c r="R22" s="29"/>
      <c r="S22" s="29"/>
      <c r="T22" s="29"/>
      <c r="U22" s="25"/>
      <c r="W22" s="61" t="s">
        <v>80</v>
      </c>
      <c r="X22" s="62">
        <v>2.9173000000000001E-2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118</v>
      </c>
      <c r="X23" s="62">
        <v>2.7292E-2</v>
      </c>
    </row>
    <row r="24" spans="2:24" ht="15.75" x14ac:dyDescent="0.25">
      <c r="B24" s="64"/>
      <c r="C24" s="73" t="s">
        <v>55</v>
      </c>
      <c r="D24" s="74"/>
      <c r="E24" s="75">
        <f>SUM(E8:E22)</f>
        <v>0.55377799999999999</v>
      </c>
      <c r="F24" s="29"/>
      <c r="G24" s="29"/>
      <c r="H24" s="29"/>
      <c r="I24" s="29"/>
      <c r="J24" s="29"/>
      <c r="K24" s="29"/>
      <c r="L24" s="29"/>
      <c r="M24" s="29"/>
      <c r="N24" s="29"/>
      <c r="O24" s="29"/>
      <c r="P24" s="29"/>
      <c r="Q24" s="29"/>
      <c r="R24" s="29"/>
      <c r="S24" s="29"/>
      <c r="T24" s="29"/>
      <c r="U24" s="25"/>
      <c r="W24" s="61" t="s">
        <v>23</v>
      </c>
      <c r="X24" s="62">
        <v>2.7088000000000001E-2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306" t="s">
        <v>177</v>
      </c>
      <c r="C39" s="307"/>
      <c r="D39" s="307"/>
      <c r="E39" s="307"/>
      <c r="F39" s="307"/>
      <c r="G39" s="307"/>
      <c r="H39" s="307"/>
      <c r="I39" s="307"/>
      <c r="J39" s="307"/>
      <c r="K39" s="307"/>
      <c r="L39" s="307"/>
      <c r="M39" s="307"/>
      <c r="N39" s="307"/>
      <c r="O39" s="307"/>
      <c r="P39" s="307"/>
      <c r="Q39" s="307"/>
      <c r="R39" s="308"/>
      <c r="W39" s="61"/>
      <c r="X39" s="62"/>
    </row>
    <row r="40" spans="2:24" x14ac:dyDescent="0.25">
      <c r="B40" s="309"/>
      <c r="C40" s="310"/>
      <c r="D40" s="310"/>
      <c r="E40" s="310"/>
      <c r="F40" s="310"/>
      <c r="G40" s="310"/>
      <c r="H40" s="310"/>
      <c r="I40" s="310"/>
      <c r="J40" s="310"/>
      <c r="K40" s="310"/>
      <c r="L40" s="310"/>
      <c r="M40" s="310"/>
      <c r="N40" s="310"/>
      <c r="O40" s="310"/>
      <c r="P40" s="310"/>
      <c r="Q40" s="310"/>
      <c r="R40" s="311"/>
      <c r="W40" s="61"/>
      <c r="X40" s="62"/>
    </row>
    <row r="41" spans="2:24" x14ac:dyDescent="0.25">
      <c r="B41" s="309"/>
      <c r="C41" s="310"/>
      <c r="D41" s="310"/>
      <c r="E41" s="310"/>
      <c r="F41" s="310"/>
      <c r="G41" s="310"/>
      <c r="H41" s="310"/>
      <c r="I41" s="310"/>
      <c r="J41" s="310"/>
      <c r="K41" s="310"/>
      <c r="L41" s="310"/>
      <c r="M41" s="310"/>
      <c r="N41" s="310"/>
      <c r="O41" s="310"/>
      <c r="P41" s="310"/>
      <c r="Q41" s="310"/>
      <c r="R41" s="311"/>
      <c r="W41" s="61"/>
      <c r="X41" s="62"/>
    </row>
    <row r="42" spans="2:24" x14ac:dyDescent="0.25">
      <c r="B42" s="309"/>
      <c r="C42" s="310"/>
      <c r="D42" s="310"/>
      <c r="E42" s="310"/>
      <c r="F42" s="310"/>
      <c r="G42" s="310"/>
      <c r="H42" s="310"/>
      <c r="I42" s="310"/>
      <c r="J42" s="310"/>
      <c r="K42" s="310"/>
      <c r="L42" s="310"/>
      <c r="M42" s="310"/>
      <c r="N42" s="310"/>
      <c r="O42" s="310"/>
      <c r="P42" s="310"/>
      <c r="Q42" s="310"/>
      <c r="R42" s="311"/>
      <c r="W42" s="61"/>
      <c r="X42" s="62"/>
    </row>
    <row r="43" spans="2:24" x14ac:dyDescent="0.25">
      <c r="B43" s="309"/>
      <c r="C43" s="310"/>
      <c r="D43" s="310"/>
      <c r="E43" s="310"/>
      <c r="F43" s="310"/>
      <c r="G43" s="310"/>
      <c r="H43" s="310"/>
      <c r="I43" s="310"/>
      <c r="J43" s="310"/>
      <c r="K43" s="310"/>
      <c r="L43" s="310"/>
      <c r="M43" s="310"/>
      <c r="N43" s="310"/>
      <c r="O43" s="310"/>
      <c r="P43" s="310"/>
      <c r="Q43" s="310"/>
      <c r="R43" s="311"/>
    </row>
    <row r="44" spans="2:24" x14ac:dyDescent="0.25">
      <c r="B44" s="309"/>
      <c r="C44" s="310"/>
      <c r="D44" s="310"/>
      <c r="E44" s="310"/>
      <c r="F44" s="310"/>
      <c r="G44" s="310"/>
      <c r="H44" s="310"/>
      <c r="I44" s="310"/>
      <c r="J44" s="310"/>
      <c r="K44" s="310"/>
      <c r="L44" s="310"/>
      <c r="M44" s="310"/>
      <c r="N44" s="310"/>
      <c r="O44" s="310"/>
      <c r="P44" s="310"/>
      <c r="Q44" s="310"/>
      <c r="R44" s="311"/>
    </row>
    <row r="45" spans="2:24" ht="15.75" thickBot="1" x14ac:dyDescent="0.3">
      <c r="B45" s="312"/>
      <c r="C45" s="313"/>
      <c r="D45" s="313"/>
      <c r="E45" s="313"/>
      <c r="F45" s="313"/>
      <c r="G45" s="313"/>
      <c r="H45" s="313"/>
      <c r="I45" s="313"/>
      <c r="J45" s="313"/>
      <c r="K45" s="313"/>
      <c r="L45" s="313"/>
      <c r="M45" s="313"/>
      <c r="N45" s="313"/>
      <c r="O45" s="313"/>
      <c r="P45" s="313"/>
      <c r="Q45" s="313"/>
      <c r="R45" s="314"/>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sheetPr codeName="Sheet31"/>
  <dimension ref="A1:X45"/>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49.2851562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187</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417</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28</v>
      </c>
      <c r="D8" s="185" t="s">
        <v>104</v>
      </c>
      <c r="E8" s="186">
        <v>0.27144200000000002</v>
      </c>
      <c r="F8" s="29"/>
      <c r="G8" s="29"/>
      <c r="H8" s="29"/>
      <c r="I8" s="29"/>
      <c r="J8" s="29"/>
      <c r="K8" s="29"/>
      <c r="L8" s="29"/>
      <c r="M8" s="29"/>
      <c r="N8" s="29"/>
      <c r="O8" s="29"/>
      <c r="P8" s="29"/>
      <c r="Q8" s="29"/>
      <c r="R8" s="29"/>
      <c r="S8" s="29"/>
      <c r="T8" s="29"/>
      <c r="U8" s="25"/>
      <c r="W8" t="s">
        <v>104</v>
      </c>
      <c r="X8" s="172">
        <v>0.99657600000000002</v>
      </c>
    </row>
    <row r="9" spans="1:24" ht="15.75" x14ac:dyDescent="0.25">
      <c r="B9" s="64"/>
      <c r="C9" s="180" t="s">
        <v>33</v>
      </c>
      <c r="D9" s="187" t="s">
        <v>104</v>
      </c>
      <c r="E9" s="188">
        <v>0.221385</v>
      </c>
      <c r="F9" s="29"/>
      <c r="G9" s="29"/>
      <c r="H9" s="29"/>
      <c r="I9" s="29"/>
      <c r="J9" s="29"/>
      <c r="K9" s="29"/>
      <c r="L9" s="29"/>
      <c r="M9" s="29"/>
      <c r="N9" s="29"/>
      <c r="O9" s="29"/>
      <c r="P9" s="29"/>
      <c r="Q9" s="29"/>
      <c r="R9" s="29"/>
      <c r="S9" s="29"/>
      <c r="T9" s="29"/>
      <c r="U9" s="25"/>
      <c r="W9"/>
      <c r="X9" s="172"/>
    </row>
    <row r="10" spans="1:24" ht="15.75" x14ac:dyDescent="0.25">
      <c r="B10" s="64"/>
      <c r="C10" s="180" t="s">
        <v>185</v>
      </c>
      <c r="D10" s="187" t="s">
        <v>104</v>
      </c>
      <c r="E10" s="188">
        <v>0.10864500000000001</v>
      </c>
      <c r="F10" s="29"/>
      <c r="G10" s="29"/>
      <c r="H10" s="29"/>
      <c r="I10" s="29"/>
      <c r="J10" s="29"/>
      <c r="K10" s="29"/>
      <c r="L10" s="29"/>
      <c r="M10" s="29"/>
      <c r="N10" s="29"/>
      <c r="O10" s="29"/>
      <c r="P10" s="29"/>
      <c r="Q10" s="29"/>
      <c r="R10" s="29"/>
      <c r="S10" s="29"/>
      <c r="T10" s="29"/>
      <c r="U10" s="25"/>
      <c r="W10" s="173"/>
      <c r="X10" s="172"/>
    </row>
    <row r="11" spans="1:24" ht="15.75" x14ac:dyDescent="0.25">
      <c r="B11" s="64"/>
      <c r="C11" s="180" t="s">
        <v>184</v>
      </c>
      <c r="D11" s="187" t="s">
        <v>104</v>
      </c>
      <c r="E11" s="188">
        <v>0.10281800000000001</v>
      </c>
      <c r="F11" s="29"/>
      <c r="G11" s="29"/>
      <c r="H11" s="29"/>
      <c r="I11" s="29"/>
      <c r="J11" s="29"/>
      <c r="K11" s="29"/>
      <c r="L11" s="29"/>
      <c r="M11" s="29"/>
      <c r="N11" s="29"/>
      <c r="O11" s="29"/>
      <c r="P11" s="29"/>
      <c r="Q11" s="29"/>
      <c r="R11" s="29"/>
      <c r="S11" s="29"/>
      <c r="T11" s="29"/>
      <c r="U11" s="25"/>
      <c r="W11" s="173"/>
      <c r="X11" s="172"/>
    </row>
    <row r="12" spans="1:24" ht="15.75" x14ac:dyDescent="0.25">
      <c r="B12" s="64"/>
      <c r="C12" s="180" t="s">
        <v>183</v>
      </c>
      <c r="D12" s="187" t="s">
        <v>104</v>
      </c>
      <c r="E12" s="188">
        <v>7.3037000000000005E-2</v>
      </c>
      <c r="F12" s="29"/>
      <c r="G12" s="29"/>
      <c r="H12" s="29"/>
      <c r="I12" s="29"/>
      <c r="J12" s="29"/>
      <c r="K12" s="29"/>
      <c r="L12" s="29"/>
      <c r="M12" s="29"/>
      <c r="N12" s="29"/>
      <c r="O12" s="29"/>
      <c r="P12" s="29"/>
      <c r="Q12" s="29"/>
      <c r="R12" s="29"/>
      <c r="S12" s="29"/>
      <c r="T12" s="29"/>
      <c r="U12" s="25"/>
      <c r="W12" s="173"/>
      <c r="X12" s="172"/>
    </row>
    <row r="13" spans="1:24" ht="15.75" x14ac:dyDescent="0.25">
      <c r="B13" s="64"/>
      <c r="C13" s="180" t="s">
        <v>181</v>
      </c>
      <c r="D13" s="187" t="s">
        <v>104</v>
      </c>
      <c r="E13" s="188">
        <v>6.1816000000000003E-2</v>
      </c>
      <c r="F13" s="29"/>
      <c r="G13" s="29"/>
      <c r="H13" s="29"/>
      <c r="I13" s="29"/>
      <c r="J13" s="29"/>
      <c r="K13" s="29"/>
      <c r="L13" s="29"/>
      <c r="M13" s="29"/>
      <c r="N13" s="29"/>
      <c r="O13" s="29"/>
      <c r="P13" s="29"/>
      <c r="Q13" s="29"/>
      <c r="R13" s="29"/>
      <c r="S13" s="29"/>
      <c r="T13" s="29"/>
      <c r="U13" s="25"/>
      <c r="W13" s="173"/>
      <c r="X13" s="172"/>
    </row>
    <row r="14" spans="1:24" ht="15.75" x14ac:dyDescent="0.25">
      <c r="B14" s="64"/>
      <c r="C14" s="180" t="s">
        <v>186</v>
      </c>
      <c r="D14" s="187" t="s">
        <v>104</v>
      </c>
      <c r="E14" s="188">
        <v>5.8659999999999997E-2</v>
      </c>
      <c r="F14" s="29"/>
      <c r="G14" s="29"/>
      <c r="H14" s="29"/>
      <c r="I14" s="29"/>
      <c r="J14" s="29"/>
      <c r="K14" s="29"/>
      <c r="L14" s="29"/>
      <c r="M14" s="29"/>
      <c r="N14" s="29"/>
      <c r="O14" s="29"/>
      <c r="P14" s="29"/>
      <c r="Q14" s="29"/>
      <c r="R14" s="29"/>
      <c r="S14" s="29"/>
      <c r="T14" s="29"/>
      <c r="U14" s="25"/>
      <c r="W14" s="173"/>
      <c r="X14" s="172"/>
    </row>
    <row r="15" spans="1:24" ht="15.75" x14ac:dyDescent="0.25">
      <c r="B15" s="64"/>
      <c r="C15" s="180" t="s">
        <v>145</v>
      </c>
      <c r="D15" s="187" t="s">
        <v>104</v>
      </c>
      <c r="E15" s="188">
        <v>4.8212999999999999E-2</v>
      </c>
      <c r="F15" s="29"/>
      <c r="G15" s="29"/>
      <c r="H15" s="29"/>
      <c r="I15" s="29"/>
      <c r="J15" s="29"/>
      <c r="K15" s="29"/>
      <c r="L15" s="29"/>
      <c r="M15" s="29"/>
      <c r="N15" s="29"/>
      <c r="O15" s="29"/>
      <c r="P15" s="29"/>
      <c r="Q15" s="29"/>
      <c r="R15" s="29"/>
      <c r="S15" s="29"/>
      <c r="T15" s="29"/>
      <c r="U15" s="25"/>
      <c r="W15" s="173"/>
      <c r="X15" s="172"/>
    </row>
    <row r="16" spans="1:24" ht="15.75" x14ac:dyDescent="0.25">
      <c r="B16" s="64"/>
      <c r="C16" s="180" t="s">
        <v>256</v>
      </c>
      <c r="D16" s="187" t="s">
        <v>104</v>
      </c>
      <c r="E16" s="188">
        <v>2.9949E-2</v>
      </c>
      <c r="F16" s="29"/>
      <c r="G16" s="29"/>
      <c r="H16" s="29"/>
      <c r="I16" s="29"/>
      <c r="J16" s="29"/>
      <c r="K16" s="29"/>
      <c r="L16" s="29"/>
      <c r="M16" s="29"/>
      <c r="N16" s="29"/>
      <c r="O16" s="29"/>
      <c r="P16" s="29"/>
      <c r="Q16" s="29"/>
      <c r="R16" s="29"/>
      <c r="S16" s="29"/>
      <c r="T16" s="29"/>
      <c r="U16" s="25"/>
      <c r="W16" s="173"/>
      <c r="X16" s="172"/>
    </row>
    <row r="17" spans="2:24" ht="15.75" x14ac:dyDescent="0.25">
      <c r="B17" s="64"/>
      <c r="C17" s="180" t="s">
        <v>278</v>
      </c>
      <c r="D17" s="187" t="s">
        <v>104</v>
      </c>
      <c r="E17" s="188">
        <v>2.0611000000000001E-2</v>
      </c>
      <c r="F17" s="29"/>
      <c r="G17" s="29"/>
      <c r="H17" s="29"/>
      <c r="I17" s="29"/>
      <c r="J17" s="29"/>
      <c r="K17" s="29"/>
      <c r="L17" s="29"/>
      <c r="M17" s="29"/>
      <c r="N17" s="29"/>
      <c r="O17" s="29"/>
      <c r="P17" s="29"/>
      <c r="Q17" s="29"/>
      <c r="R17" s="29"/>
      <c r="S17" s="29"/>
      <c r="T17" s="29"/>
      <c r="U17" s="25"/>
      <c r="W17" s="173"/>
      <c r="X17" s="172"/>
    </row>
    <row r="18" spans="2:24" ht="15.75" x14ac:dyDescent="0.25">
      <c r="B18" s="64"/>
      <c r="C18" s="180"/>
      <c r="D18" s="187"/>
      <c r="E18" s="188"/>
      <c r="F18" s="29"/>
      <c r="G18" s="29"/>
      <c r="H18" s="29"/>
      <c r="I18" s="29"/>
      <c r="J18" s="29"/>
      <c r="K18" s="29"/>
      <c r="L18" s="29"/>
      <c r="M18" s="29"/>
      <c r="N18" s="29"/>
      <c r="O18" s="29"/>
      <c r="P18" s="29"/>
      <c r="Q18" s="29"/>
      <c r="R18" s="29"/>
      <c r="S18" s="29"/>
      <c r="T18" s="29"/>
      <c r="U18" s="25"/>
      <c r="W18" s="173"/>
      <c r="X18" s="172"/>
    </row>
    <row r="19" spans="2:24" ht="15.75" x14ac:dyDescent="0.25">
      <c r="B19" s="64"/>
      <c r="C19" s="73" t="s">
        <v>55</v>
      </c>
      <c r="D19" s="74"/>
      <c r="E19" s="75">
        <f>SUM(E8:E17)</f>
        <v>0.99657600000000002</v>
      </c>
      <c r="F19" s="29"/>
      <c r="G19" s="29"/>
      <c r="H19" s="29"/>
      <c r="I19" s="29"/>
      <c r="J19" s="29"/>
      <c r="K19" s="29"/>
      <c r="L19" s="29"/>
      <c r="M19" s="29"/>
      <c r="N19" s="29"/>
      <c r="O19" s="29"/>
      <c r="P19" s="29"/>
      <c r="Q19" s="29"/>
      <c r="R19" s="29"/>
      <c r="S19" s="29"/>
      <c r="T19" s="29"/>
      <c r="U19" s="25"/>
      <c r="W19" s="173"/>
      <c r="X19" s="172"/>
    </row>
    <row r="20" spans="2:24" x14ac:dyDescent="0.25">
      <c r="B20" s="64"/>
      <c r="C20" s="29"/>
      <c r="D20" s="29"/>
      <c r="E20" s="29"/>
      <c r="F20" s="29"/>
      <c r="G20" s="29"/>
      <c r="H20" s="29"/>
      <c r="I20" s="29"/>
      <c r="J20" s="29"/>
      <c r="K20" s="29"/>
      <c r="L20" s="29"/>
      <c r="M20" s="29"/>
      <c r="N20" s="29"/>
      <c r="O20" s="29"/>
      <c r="P20" s="29"/>
      <c r="Q20" s="29"/>
      <c r="R20" s="29"/>
      <c r="S20" s="29"/>
      <c r="T20" s="29"/>
      <c r="U20" s="25"/>
      <c r="W20" s="173"/>
      <c r="X20" s="172"/>
    </row>
    <row r="21" spans="2:24" x14ac:dyDescent="0.25">
      <c r="B21" s="64"/>
      <c r="C21" s="29"/>
      <c r="D21" s="29"/>
      <c r="E21" s="29"/>
      <c r="F21" s="29"/>
      <c r="G21" s="29"/>
      <c r="H21" s="29"/>
      <c r="I21" s="29"/>
      <c r="J21" s="29"/>
      <c r="K21" s="29"/>
      <c r="L21" s="29"/>
      <c r="M21" s="29"/>
      <c r="N21" s="29"/>
      <c r="O21" s="29"/>
      <c r="P21" s="29"/>
      <c r="Q21" s="29"/>
      <c r="R21" s="29"/>
      <c r="S21" s="29"/>
      <c r="T21" s="29"/>
      <c r="U21" s="25"/>
      <c r="W21" s="173"/>
      <c r="X21" s="172"/>
    </row>
    <row r="22" spans="2:24" x14ac:dyDescent="0.25">
      <c r="B22" s="64"/>
      <c r="C22" s="29"/>
      <c r="D22" s="29"/>
      <c r="E22" s="29"/>
      <c r="F22" s="29"/>
      <c r="G22" s="29"/>
      <c r="H22" s="29"/>
      <c r="I22" s="29"/>
      <c r="J22" s="29"/>
      <c r="K22" s="29"/>
      <c r="L22" s="29"/>
      <c r="M22" s="29"/>
      <c r="N22" s="29"/>
      <c r="O22" s="29"/>
      <c r="P22" s="29"/>
      <c r="Q22" s="29"/>
      <c r="R22" s="29"/>
      <c r="S22" s="29"/>
      <c r="T22" s="29"/>
      <c r="U22" s="25"/>
      <c r="W22" s="61"/>
      <c r="X22" s="62"/>
    </row>
    <row r="23" spans="2:24" x14ac:dyDescent="0.25">
      <c r="B23" s="64"/>
      <c r="C23" s="29"/>
      <c r="D23" s="29"/>
      <c r="E23" s="29"/>
      <c r="F23" s="29"/>
      <c r="G23" s="29"/>
      <c r="H23" s="29"/>
      <c r="I23" s="29"/>
      <c r="J23" s="29"/>
      <c r="K23" s="29"/>
      <c r="L23" s="29"/>
      <c r="M23" s="29"/>
      <c r="N23" s="29"/>
      <c r="O23" s="29"/>
      <c r="P23" s="29"/>
      <c r="Q23" s="29"/>
      <c r="R23" s="29"/>
      <c r="S23" s="29"/>
      <c r="T23" s="29"/>
      <c r="U23" s="25"/>
      <c r="W23" s="61"/>
      <c r="X23" s="62"/>
    </row>
    <row r="24" spans="2:24" x14ac:dyDescent="0.25">
      <c r="B24" s="64"/>
      <c r="C24" s="29"/>
      <c r="D24" s="29"/>
      <c r="E24" s="29"/>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306" t="s">
        <v>177</v>
      </c>
      <c r="C39" s="307"/>
      <c r="D39" s="307"/>
      <c r="E39" s="307"/>
      <c r="F39" s="307"/>
      <c r="G39" s="307"/>
      <c r="H39" s="307"/>
      <c r="I39" s="307"/>
      <c r="J39" s="307"/>
      <c r="K39" s="307"/>
      <c r="L39" s="307"/>
      <c r="M39" s="307"/>
      <c r="N39" s="307"/>
      <c r="O39" s="307"/>
      <c r="P39" s="307"/>
      <c r="Q39" s="307"/>
      <c r="R39" s="308"/>
      <c r="W39" s="61"/>
      <c r="X39" s="62"/>
    </row>
    <row r="40" spans="2:24" x14ac:dyDescent="0.25">
      <c r="B40" s="309"/>
      <c r="C40" s="310"/>
      <c r="D40" s="310"/>
      <c r="E40" s="310"/>
      <c r="F40" s="310"/>
      <c r="G40" s="310"/>
      <c r="H40" s="310"/>
      <c r="I40" s="310"/>
      <c r="J40" s="310"/>
      <c r="K40" s="310"/>
      <c r="L40" s="310"/>
      <c r="M40" s="310"/>
      <c r="N40" s="310"/>
      <c r="O40" s="310"/>
      <c r="P40" s="310"/>
      <c r="Q40" s="310"/>
      <c r="R40" s="311"/>
      <c r="W40" s="61"/>
      <c r="X40" s="62"/>
    </row>
    <row r="41" spans="2:24" x14ac:dyDescent="0.25">
      <c r="B41" s="309"/>
      <c r="C41" s="310"/>
      <c r="D41" s="310"/>
      <c r="E41" s="310"/>
      <c r="F41" s="310"/>
      <c r="G41" s="310"/>
      <c r="H41" s="310"/>
      <c r="I41" s="310"/>
      <c r="J41" s="310"/>
      <c r="K41" s="310"/>
      <c r="L41" s="310"/>
      <c r="M41" s="310"/>
      <c r="N41" s="310"/>
      <c r="O41" s="310"/>
      <c r="P41" s="310"/>
      <c r="Q41" s="310"/>
      <c r="R41" s="311"/>
      <c r="W41" s="61"/>
      <c r="X41" s="62"/>
    </row>
    <row r="42" spans="2:24" x14ac:dyDescent="0.25">
      <c r="B42" s="309"/>
      <c r="C42" s="310"/>
      <c r="D42" s="310"/>
      <c r="E42" s="310"/>
      <c r="F42" s="310"/>
      <c r="G42" s="310"/>
      <c r="H42" s="310"/>
      <c r="I42" s="310"/>
      <c r="J42" s="310"/>
      <c r="K42" s="310"/>
      <c r="L42" s="310"/>
      <c r="M42" s="310"/>
      <c r="N42" s="310"/>
      <c r="O42" s="310"/>
      <c r="P42" s="310"/>
      <c r="Q42" s="310"/>
      <c r="R42" s="311"/>
      <c r="W42" s="61"/>
      <c r="X42" s="62"/>
    </row>
    <row r="43" spans="2:24" x14ac:dyDescent="0.25">
      <c r="B43" s="309"/>
      <c r="C43" s="310"/>
      <c r="D43" s="310"/>
      <c r="E43" s="310"/>
      <c r="F43" s="310"/>
      <c r="G43" s="310"/>
      <c r="H43" s="310"/>
      <c r="I43" s="310"/>
      <c r="J43" s="310"/>
      <c r="K43" s="310"/>
      <c r="L43" s="310"/>
      <c r="M43" s="310"/>
      <c r="N43" s="310"/>
      <c r="O43" s="310"/>
      <c r="P43" s="310"/>
      <c r="Q43" s="310"/>
      <c r="R43" s="311"/>
    </row>
    <row r="44" spans="2:24" x14ac:dyDescent="0.25">
      <c r="B44" s="309"/>
      <c r="C44" s="310"/>
      <c r="D44" s="310"/>
      <c r="E44" s="310"/>
      <c r="F44" s="310"/>
      <c r="G44" s="310"/>
      <c r="H44" s="310"/>
      <c r="I44" s="310"/>
      <c r="J44" s="310"/>
      <c r="K44" s="310"/>
      <c r="L44" s="310"/>
      <c r="M44" s="310"/>
      <c r="N44" s="310"/>
      <c r="O44" s="310"/>
      <c r="P44" s="310"/>
      <c r="Q44" s="310"/>
      <c r="R44" s="311"/>
    </row>
    <row r="45" spans="2:24" ht="15.75" thickBot="1" x14ac:dyDescent="0.3">
      <c r="B45" s="312"/>
      <c r="C45" s="313"/>
      <c r="D45" s="313"/>
      <c r="E45" s="313"/>
      <c r="F45" s="313"/>
      <c r="G45" s="313"/>
      <c r="H45" s="313"/>
      <c r="I45" s="313"/>
      <c r="J45" s="313"/>
      <c r="K45" s="313"/>
      <c r="L45" s="313"/>
      <c r="M45" s="313"/>
      <c r="N45" s="313"/>
      <c r="O45" s="313"/>
      <c r="P45" s="313"/>
      <c r="Q45" s="313"/>
      <c r="R45" s="314"/>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sheetPr codeName="Sheet32"/>
  <dimension ref="A1:X45"/>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199</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418</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359</v>
      </c>
      <c r="D8" s="185" t="s">
        <v>16</v>
      </c>
      <c r="E8" s="186">
        <v>7.0061999999999999E-2</v>
      </c>
      <c r="F8" s="29"/>
      <c r="G8" s="29"/>
      <c r="H8" s="29"/>
      <c r="I8" s="29"/>
      <c r="J8" s="29"/>
      <c r="K8" s="29"/>
      <c r="L8" s="29"/>
      <c r="M8" s="29"/>
      <c r="N8" s="29"/>
      <c r="O8" s="29"/>
      <c r="P8" s="29"/>
      <c r="Q8" s="29"/>
      <c r="R8" s="29"/>
      <c r="S8" s="29"/>
      <c r="T8" s="29"/>
      <c r="U8" s="25"/>
      <c r="W8" s="173" t="s">
        <v>16</v>
      </c>
      <c r="X8" s="172">
        <v>0.166853</v>
      </c>
    </row>
    <row r="9" spans="1:24" ht="15.75" x14ac:dyDescent="0.25">
      <c r="B9" s="64"/>
      <c r="C9" s="180" t="s">
        <v>232</v>
      </c>
      <c r="D9" s="187" t="s">
        <v>82</v>
      </c>
      <c r="E9" s="188">
        <v>6.2420999999999997E-2</v>
      </c>
      <c r="F9" s="29"/>
      <c r="G9" s="29"/>
      <c r="H9" s="29"/>
      <c r="I9" s="29"/>
      <c r="J9" s="29"/>
      <c r="K9" s="29"/>
      <c r="L9" s="29"/>
      <c r="M9" s="29"/>
      <c r="N9" s="29"/>
      <c r="O9" s="29"/>
      <c r="P9" s="29"/>
      <c r="Q9" s="29"/>
      <c r="R9" s="29"/>
      <c r="S9" s="29"/>
      <c r="T9" s="29"/>
      <c r="U9" s="25"/>
      <c r="W9" s="173" t="s">
        <v>82</v>
      </c>
      <c r="X9" s="172">
        <v>0.13472999999999999</v>
      </c>
    </row>
    <row r="10" spans="1:24" ht="15.75" x14ac:dyDescent="0.25">
      <c r="B10" s="64"/>
      <c r="C10" s="180" t="s">
        <v>360</v>
      </c>
      <c r="D10" s="187" t="s">
        <v>116</v>
      </c>
      <c r="E10" s="188">
        <v>5.4598000000000001E-2</v>
      </c>
      <c r="F10" s="29"/>
      <c r="G10" s="29"/>
      <c r="H10" s="29"/>
      <c r="I10" s="29"/>
      <c r="J10" s="29"/>
      <c r="K10" s="29"/>
      <c r="L10" s="29"/>
      <c r="M10" s="29"/>
      <c r="N10" s="29"/>
      <c r="O10" s="29"/>
      <c r="P10" s="29"/>
      <c r="Q10" s="29"/>
      <c r="R10" s="29"/>
      <c r="S10" s="29"/>
      <c r="T10" s="29"/>
      <c r="U10" s="25"/>
      <c r="W10" s="173" t="s">
        <v>134</v>
      </c>
      <c r="X10" s="172">
        <v>0.10423299999999999</v>
      </c>
    </row>
    <row r="11" spans="1:24" ht="15.75" x14ac:dyDescent="0.25">
      <c r="B11" s="64"/>
      <c r="C11" s="180" t="s">
        <v>333</v>
      </c>
      <c r="D11" s="187" t="s">
        <v>134</v>
      </c>
      <c r="E11" s="188">
        <v>5.3071E-2</v>
      </c>
      <c r="F11" s="29"/>
      <c r="G11" s="29"/>
      <c r="H11" s="29"/>
      <c r="I11" s="29"/>
      <c r="J11" s="29"/>
      <c r="K11" s="29"/>
      <c r="L11" s="29"/>
      <c r="M11" s="29"/>
      <c r="N11" s="29"/>
      <c r="O11" s="29"/>
      <c r="P11" s="29"/>
      <c r="Q11" s="29"/>
      <c r="R11" s="29"/>
      <c r="S11" s="29"/>
      <c r="T11" s="29"/>
      <c r="U11" s="25"/>
      <c r="W11" s="173" t="s">
        <v>116</v>
      </c>
      <c r="X11" s="172">
        <v>8.9546000000000001E-2</v>
      </c>
    </row>
    <row r="12" spans="1:24" ht="15.75" x14ac:dyDescent="0.25">
      <c r="B12" s="64"/>
      <c r="C12" s="180" t="s">
        <v>226</v>
      </c>
      <c r="D12" s="187" t="s">
        <v>16</v>
      </c>
      <c r="E12" s="188">
        <v>4.3575000000000003E-2</v>
      </c>
      <c r="F12" s="29"/>
      <c r="G12" s="29"/>
      <c r="H12" s="29"/>
      <c r="I12" s="29"/>
      <c r="J12" s="29"/>
      <c r="K12" s="29"/>
      <c r="L12" s="29"/>
      <c r="M12" s="29"/>
      <c r="N12" s="29"/>
      <c r="O12" s="29"/>
      <c r="P12" s="29"/>
      <c r="Q12" s="29"/>
      <c r="R12" s="29"/>
      <c r="S12" s="29"/>
      <c r="T12" s="29"/>
      <c r="U12" s="25"/>
      <c r="W12" s="173" t="s">
        <v>108</v>
      </c>
      <c r="X12" s="172">
        <v>6.648599999999999E-2</v>
      </c>
    </row>
    <row r="13" spans="1:24" ht="30" x14ac:dyDescent="0.25">
      <c r="B13" s="64"/>
      <c r="C13" s="180" t="s">
        <v>258</v>
      </c>
      <c r="D13" s="187" t="s">
        <v>179</v>
      </c>
      <c r="E13" s="188">
        <v>3.4828999999999999E-2</v>
      </c>
      <c r="F13" s="29"/>
      <c r="G13" s="29"/>
      <c r="H13" s="29"/>
      <c r="I13" s="29"/>
      <c r="J13" s="29"/>
      <c r="K13" s="29"/>
      <c r="L13" s="29"/>
      <c r="M13" s="29"/>
      <c r="N13" s="29"/>
      <c r="O13" s="29"/>
      <c r="P13" s="29"/>
      <c r="Q13" s="29"/>
      <c r="R13" s="29"/>
      <c r="S13" s="29"/>
      <c r="T13" s="29"/>
      <c r="U13" s="25"/>
      <c r="W13" s="173" t="s">
        <v>179</v>
      </c>
      <c r="X13" s="172">
        <v>4.7657999999999999E-2</v>
      </c>
    </row>
    <row r="14" spans="1:24" ht="30" x14ac:dyDescent="0.25">
      <c r="B14" s="64"/>
      <c r="C14" s="180" t="s">
        <v>362</v>
      </c>
      <c r="D14" s="187" t="s">
        <v>123</v>
      </c>
      <c r="E14" s="188">
        <v>3.1493E-2</v>
      </c>
      <c r="F14" s="29"/>
      <c r="G14" s="29"/>
      <c r="H14" s="29"/>
      <c r="I14" s="29"/>
      <c r="J14" s="29"/>
      <c r="K14" s="29"/>
      <c r="L14" s="29"/>
      <c r="M14" s="29"/>
      <c r="N14" s="29"/>
      <c r="O14" s="29"/>
      <c r="P14" s="29"/>
      <c r="Q14" s="29"/>
      <c r="R14" s="29"/>
      <c r="S14" s="29"/>
      <c r="T14" s="29"/>
      <c r="U14" s="25"/>
      <c r="W14" s="173" t="s">
        <v>26</v>
      </c>
      <c r="X14" s="172">
        <v>4.5536E-2</v>
      </c>
    </row>
    <row r="15" spans="1:24" ht="15.75" x14ac:dyDescent="0.25">
      <c r="B15" s="64"/>
      <c r="C15" s="180" t="s">
        <v>361</v>
      </c>
      <c r="D15" s="187" t="s">
        <v>25</v>
      </c>
      <c r="E15" s="188">
        <v>2.8750000000000001E-2</v>
      </c>
      <c r="F15" s="29"/>
      <c r="G15" s="29"/>
      <c r="H15" s="29"/>
      <c r="I15" s="29"/>
      <c r="J15" s="29"/>
      <c r="K15" s="29"/>
      <c r="L15" s="29"/>
      <c r="M15" s="29"/>
      <c r="N15" s="29"/>
      <c r="O15" s="29"/>
      <c r="P15" s="29"/>
      <c r="Q15" s="29"/>
      <c r="R15" s="29"/>
      <c r="S15" s="29"/>
      <c r="T15" s="29"/>
      <c r="U15" s="25"/>
      <c r="W15" s="173" t="s">
        <v>4</v>
      </c>
      <c r="X15" s="172">
        <v>4.2133999999999998E-2</v>
      </c>
    </row>
    <row r="16" spans="1:24" ht="15.75" x14ac:dyDescent="0.25">
      <c r="B16" s="64"/>
      <c r="C16" s="180" t="s">
        <v>273</v>
      </c>
      <c r="D16" s="187" t="s">
        <v>82</v>
      </c>
      <c r="E16" s="188">
        <v>2.8354000000000001E-2</v>
      </c>
      <c r="F16" s="29"/>
      <c r="G16" s="29"/>
      <c r="H16" s="29"/>
      <c r="I16" s="29"/>
      <c r="J16" s="29"/>
      <c r="K16" s="29"/>
      <c r="L16" s="29"/>
      <c r="M16" s="29"/>
      <c r="N16" s="29"/>
      <c r="O16" s="29"/>
      <c r="P16" s="29"/>
      <c r="Q16" s="29"/>
      <c r="R16" s="29"/>
      <c r="S16" s="29"/>
      <c r="T16" s="29"/>
      <c r="U16" s="25"/>
      <c r="W16" s="173" t="s">
        <v>12</v>
      </c>
      <c r="X16" s="172">
        <v>3.4976E-2</v>
      </c>
    </row>
    <row r="17" spans="2:24" ht="15.75" x14ac:dyDescent="0.25">
      <c r="B17" s="64"/>
      <c r="C17" s="180" t="s">
        <v>373</v>
      </c>
      <c r="D17" s="187" t="s">
        <v>134</v>
      </c>
      <c r="E17" s="188">
        <v>2.7743E-2</v>
      </c>
      <c r="F17" s="29"/>
      <c r="G17" s="29"/>
      <c r="H17" s="29"/>
      <c r="I17" s="29"/>
      <c r="J17" s="29"/>
      <c r="K17" s="29"/>
      <c r="L17" s="29"/>
      <c r="M17" s="29"/>
      <c r="N17" s="29"/>
      <c r="O17" s="29"/>
      <c r="P17" s="29"/>
      <c r="Q17" s="29"/>
      <c r="R17" s="29"/>
      <c r="S17" s="29"/>
      <c r="T17" s="29"/>
      <c r="U17" s="25"/>
      <c r="W17" s="173" t="s">
        <v>10</v>
      </c>
      <c r="X17" s="172">
        <v>3.4058999999999999E-2</v>
      </c>
    </row>
    <row r="18" spans="2:24" ht="15.75" x14ac:dyDescent="0.25">
      <c r="B18" s="64"/>
      <c r="C18" s="180" t="s">
        <v>383</v>
      </c>
      <c r="D18" s="187" t="s">
        <v>116</v>
      </c>
      <c r="E18" s="188">
        <v>2.7699999999999999E-2</v>
      </c>
      <c r="F18" s="29"/>
      <c r="G18" s="29"/>
      <c r="H18" s="29"/>
      <c r="I18" s="29"/>
      <c r="J18" s="29"/>
      <c r="K18" s="29"/>
      <c r="L18" s="29"/>
      <c r="M18" s="29"/>
      <c r="N18" s="29"/>
      <c r="O18" s="29"/>
      <c r="P18" s="29"/>
      <c r="Q18" s="29"/>
      <c r="R18" s="29"/>
      <c r="S18" s="29"/>
      <c r="T18" s="29"/>
      <c r="U18" s="25"/>
      <c r="W18" s="173" t="s">
        <v>123</v>
      </c>
      <c r="X18" s="172">
        <v>3.1493E-2</v>
      </c>
    </row>
    <row r="19" spans="2:24" ht="15.75" x14ac:dyDescent="0.25">
      <c r="B19" s="64"/>
      <c r="C19" s="180" t="s">
        <v>438</v>
      </c>
      <c r="D19" s="187" t="s">
        <v>10</v>
      </c>
      <c r="E19" s="188">
        <v>2.6322999999999999E-2</v>
      </c>
      <c r="F19" s="29"/>
      <c r="G19" s="29"/>
      <c r="H19" s="29"/>
      <c r="I19" s="29"/>
      <c r="J19" s="29"/>
      <c r="K19" s="29"/>
      <c r="L19" s="29"/>
      <c r="M19" s="29"/>
      <c r="N19" s="29"/>
      <c r="O19" s="29"/>
      <c r="P19" s="29"/>
      <c r="Q19" s="29"/>
      <c r="R19" s="29"/>
      <c r="S19" s="29"/>
      <c r="T19" s="29"/>
      <c r="U19" s="25"/>
      <c r="W19" s="173" t="s">
        <v>25</v>
      </c>
      <c r="X19" s="172">
        <v>2.8750000000000001E-2</v>
      </c>
    </row>
    <row r="20" spans="2:24" ht="30" x14ac:dyDescent="0.25">
      <c r="B20" s="64"/>
      <c r="C20" s="180" t="s">
        <v>283</v>
      </c>
      <c r="D20" s="187" t="s">
        <v>108</v>
      </c>
      <c r="E20" s="188">
        <v>2.588E-2</v>
      </c>
      <c r="F20" s="29"/>
      <c r="G20" s="29"/>
      <c r="H20" s="29"/>
      <c r="I20" s="29"/>
      <c r="J20" s="29"/>
      <c r="K20" s="29"/>
      <c r="L20" s="29"/>
      <c r="M20" s="29"/>
      <c r="N20" s="29"/>
      <c r="O20" s="29"/>
      <c r="P20" s="29"/>
      <c r="Q20" s="29"/>
      <c r="R20" s="29"/>
      <c r="S20" s="29"/>
      <c r="T20" s="29"/>
      <c r="U20" s="25"/>
      <c r="W20" s="173" t="s">
        <v>84</v>
      </c>
      <c r="X20" s="172">
        <v>2.3909E-2</v>
      </c>
    </row>
    <row r="21" spans="2:24" ht="15.75" x14ac:dyDescent="0.25">
      <c r="B21" s="64"/>
      <c r="C21" s="180" t="s">
        <v>248</v>
      </c>
      <c r="D21" s="187" t="s">
        <v>4</v>
      </c>
      <c r="E21" s="188">
        <v>2.4365999999999999E-2</v>
      </c>
      <c r="F21" s="29"/>
      <c r="G21" s="29"/>
      <c r="H21" s="29"/>
      <c r="I21" s="29"/>
      <c r="J21" s="29"/>
      <c r="K21" s="29"/>
      <c r="L21" s="29"/>
      <c r="M21" s="29"/>
      <c r="N21" s="29"/>
      <c r="O21" s="29"/>
      <c r="P21" s="29"/>
      <c r="Q21" s="29"/>
      <c r="R21" s="29"/>
      <c r="S21" s="29"/>
      <c r="T21" s="29"/>
      <c r="U21" s="25"/>
      <c r="W21" s="173" t="s">
        <v>74</v>
      </c>
      <c r="X21" s="172">
        <v>2.2379E-2</v>
      </c>
    </row>
    <row r="22" spans="2:24" ht="15.75" x14ac:dyDescent="0.25">
      <c r="B22" s="64"/>
      <c r="C22" s="180" t="s">
        <v>374</v>
      </c>
      <c r="D22" s="187" t="s">
        <v>134</v>
      </c>
      <c r="E22" s="188">
        <v>2.3418999999999999E-2</v>
      </c>
      <c r="F22" s="29"/>
      <c r="G22" s="29"/>
      <c r="H22" s="29"/>
      <c r="I22" s="29"/>
      <c r="J22" s="29"/>
      <c r="K22" s="29"/>
      <c r="L22" s="29"/>
      <c r="M22" s="29"/>
      <c r="N22" s="29"/>
      <c r="O22" s="29"/>
      <c r="P22" s="29"/>
      <c r="Q22" s="29"/>
      <c r="R22" s="29"/>
      <c r="S22" s="29"/>
      <c r="T22" s="29"/>
      <c r="U22" s="25"/>
      <c r="W22" s="173" t="s">
        <v>130</v>
      </c>
      <c r="X22" s="172">
        <v>2.0080000000000001E-2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121</v>
      </c>
      <c r="X23" s="172">
        <v>1.9380999999999999E-2</v>
      </c>
    </row>
    <row r="24" spans="2:24" ht="15.75" x14ac:dyDescent="0.25">
      <c r="B24" s="64"/>
      <c r="C24" s="73" t="s">
        <v>55</v>
      </c>
      <c r="D24" s="74"/>
      <c r="E24" s="75">
        <f>SUM(E8:E22)</f>
        <v>0.56258399999999997</v>
      </c>
      <c r="F24" s="29"/>
      <c r="G24" s="29"/>
      <c r="H24" s="29"/>
      <c r="I24" s="29"/>
      <c r="J24" s="29"/>
      <c r="K24" s="29"/>
      <c r="L24" s="29"/>
      <c r="M24" s="29"/>
      <c r="N24" s="29"/>
      <c r="O24" s="29"/>
      <c r="P24" s="29"/>
      <c r="Q24" s="29"/>
      <c r="R24" s="29"/>
      <c r="S24" s="29"/>
      <c r="T24" s="29"/>
      <c r="U24" s="25"/>
      <c r="W24" s="173" t="s">
        <v>23</v>
      </c>
      <c r="X24" s="172">
        <v>1.9272999999999998E-2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109</v>
      </c>
      <c r="X25" s="172">
        <v>1.7403999999999999E-2</v>
      </c>
    </row>
    <row r="26" spans="2:24" x14ac:dyDescent="0.25">
      <c r="B26" s="64"/>
      <c r="C26" s="29"/>
      <c r="D26" s="29"/>
      <c r="E26" s="29"/>
      <c r="F26" s="29"/>
      <c r="G26" s="29"/>
      <c r="H26" s="29"/>
      <c r="I26" s="29"/>
      <c r="J26" s="29"/>
      <c r="K26" s="29"/>
      <c r="L26" s="29"/>
      <c r="M26" s="29"/>
      <c r="N26" s="29"/>
      <c r="O26" s="29"/>
      <c r="P26" s="29"/>
      <c r="Q26" s="29"/>
      <c r="R26" s="29"/>
      <c r="S26" s="29"/>
      <c r="T26" s="29"/>
      <c r="U26" s="25"/>
      <c r="W26" s="173" t="s">
        <v>115</v>
      </c>
      <c r="X26" s="172">
        <v>1.5173000000000001E-2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81</v>
      </c>
      <c r="X27" s="62">
        <v>1.4678E-2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15</v>
      </c>
      <c r="X28" s="62">
        <v>8.8610000000000008E-3</v>
      </c>
    </row>
    <row r="29" spans="2:24" x14ac:dyDescent="0.25">
      <c r="B29" s="64"/>
      <c r="C29" s="29"/>
      <c r="D29" s="29"/>
      <c r="E29" s="29"/>
      <c r="F29" s="29"/>
      <c r="G29" s="29"/>
      <c r="H29" s="29"/>
      <c r="I29" s="29"/>
      <c r="J29" s="29"/>
      <c r="K29" s="29"/>
      <c r="L29" s="29"/>
      <c r="M29" s="29"/>
      <c r="N29" s="29"/>
      <c r="O29" s="29"/>
      <c r="P29" s="29"/>
      <c r="Q29" s="29"/>
      <c r="R29" s="29"/>
      <c r="S29" s="29"/>
      <c r="T29" s="29"/>
      <c r="U29" s="25"/>
      <c r="W29" s="61" t="s">
        <v>113</v>
      </c>
      <c r="X29" s="62">
        <v>5.8430000000000001E-3</v>
      </c>
    </row>
    <row r="30" spans="2:24" x14ac:dyDescent="0.25">
      <c r="B30" s="64"/>
      <c r="C30" s="29"/>
      <c r="D30" s="29"/>
      <c r="E30" s="29"/>
      <c r="F30" s="29"/>
      <c r="G30" s="29"/>
      <c r="H30" s="29"/>
      <c r="I30" s="29"/>
      <c r="J30" s="29"/>
      <c r="K30" s="29"/>
      <c r="L30" s="29"/>
      <c r="M30" s="29"/>
      <c r="N30" s="29"/>
      <c r="O30" s="29"/>
      <c r="P30" s="29"/>
      <c r="Q30" s="29"/>
      <c r="R30" s="29"/>
      <c r="S30" s="29"/>
      <c r="T30" s="29"/>
      <c r="U30" s="25"/>
      <c r="W30" s="61" t="s">
        <v>110</v>
      </c>
      <c r="X30" s="62">
        <v>5.3359999999999996E-3</v>
      </c>
    </row>
    <row r="31" spans="2:24" x14ac:dyDescent="0.25">
      <c r="B31" s="64"/>
      <c r="C31" s="29"/>
      <c r="D31" s="29"/>
      <c r="E31" s="29"/>
      <c r="F31" s="29"/>
      <c r="G31" s="29"/>
      <c r="H31" s="29"/>
      <c r="I31" s="29"/>
      <c r="J31" s="29"/>
      <c r="K31" s="29"/>
      <c r="L31" s="29"/>
      <c r="M31" s="29"/>
      <c r="N31" s="29"/>
      <c r="O31" s="29"/>
      <c r="P31" s="29"/>
      <c r="Q31" s="29"/>
      <c r="R31" s="29"/>
      <c r="S31" s="29"/>
      <c r="T31" s="29"/>
      <c r="U31" s="25"/>
      <c r="W31" s="61" t="s">
        <v>104</v>
      </c>
      <c r="X31" s="62">
        <v>6.9999999999999999E-4</v>
      </c>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306" t="s">
        <v>177</v>
      </c>
      <c r="C39" s="307"/>
      <c r="D39" s="307"/>
      <c r="E39" s="307"/>
      <c r="F39" s="307"/>
      <c r="G39" s="307"/>
      <c r="H39" s="307"/>
      <c r="I39" s="307"/>
      <c r="J39" s="307"/>
      <c r="K39" s="307"/>
      <c r="L39" s="307"/>
      <c r="M39" s="307"/>
      <c r="N39" s="307"/>
      <c r="O39" s="307"/>
      <c r="P39" s="307"/>
      <c r="Q39" s="307"/>
      <c r="R39" s="308"/>
      <c r="W39" s="61"/>
      <c r="X39" s="62"/>
    </row>
    <row r="40" spans="2:24" x14ac:dyDescent="0.25">
      <c r="B40" s="309"/>
      <c r="C40" s="310"/>
      <c r="D40" s="310"/>
      <c r="E40" s="310"/>
      <c r="F40" s="310"/>
      <c r="G40" s="310"/>
      <c r="H40" s="310"/>
      <c r="I40" s="310"/>
      <c r="J40" s="310"/>
      <c r="K40" s="310"/>
      <c r="L40" s="310"/>
      <c r="M40" s="310"/>
      <c r="N40" s="310"/>
      <c r="O40" s="310"/>
      <c r="P40" s="310"/>
      <c r="Q40" s="310"/>
      <c r="R40" s="311"/>
      <c r="W40" s="61"/>
      <c r="X40" s="62"/>
    </row>
    <row r="41" spans="2:24" x14ac:dyDescent="0.25">
      <c r="B41" s="309"/>
      <c r="C41" s="310"/>
      <c r="D41" s="310"/>
      <c r="E41" s="310"/>
      <c r="F41" s="310"/>
      <c r="G41" s="310"/>
      <c r="H41" s="310"/>
      <c r="I41" s="310"/>
      <c r="J41" s="310"/>
      <c r="K41" s="310"/>
      <c r="L41" s="310"/>
      <c r="M41" s="310"/>
      <c r="N41" s="310"/>
      <c r="O41" s="310"/>
      <c r="P41" s="310"/>
      <c r="Q41" s="310"/>
      <c r="R41" s="311"/>
      <c r="W41" s="61"/>
      <c r="X41" s="62"/>
    </row>
    <row r="42" spans="2:24" x14ac:dyDescent="0.25">
      <c r="B42" s="309"/>
      <c r="C42" s="310"/>
      <c r="D42" s="310"/>
      <c r="E42" s="310"/>
      <c r="F42" s="310"/>
      <c r="G42" s="310"/>
      <c r="H42" s="310"/>
      <c r="I42" s="310"/>
      <c r="J42" s="310"/>
      <c r="K42" s="310"/>
      <c r="L42" s="310"/>
      <c r="M42" s="310"/>
      <c r="N42" s="310"/>
      <c r="O42" s="310"/>
      <c r="P42" s="310"/>
      <c r="Q42" s="310"/>
      <c r="R42" s="311"/>
      <c r="W42" s="61"/>
      <c r="X42" s="62"/>
    </row>
    <row r="43" spans="2:24" x14ac:dyDescent="0.25">
      <c r="B43" s="309"/>
      <c r="C43" s="310"/>
      <c r="D43" s="310"/>
      <c r="E43" s="310"/>
      <c r="F43" s="310"/>
      <c r="G43" s="310"/>
      <c r="H43" s="310"/>
      <c r="I43" s="310"/>
      <c r="J43" s="310"/>
      <c r="K43" s="310"/>
      <c r="L43" s="310"/>
      <c r="M43" s="310"/>
      <c r="N43" s="310"/>
      <c r="O43" s="310"/>
      <c r="P43" s="310"/>
      <c r="Q43" s="310"/>
      <c r="R43" s="311"/>
    </row>
    <row r="44" spans="2:24" x14ac:dyDescent="0.25">
      <c r="B44" s="309"/>
      <c r="C44" s="310"/>
      <c r="D44" s="310"/>
      <c r="E44" s="310"/>
      <c r="F44" s="310"/>
      <c r="G44" s="310"/>
      <c r="H44" s="310"/>
      <c r="I44" s="310"/>
      <c r="J44" s="310"/>
      <c r="K44" s="310"/>
      <c r="L44" s="310"/>
      <c r="M44" s="310"/>
      <c r="N44" s="310"/>
      <c r="O44" s="310"/>
      <c r="P44" s="310"/>
      <c r="Q44" s="310"/>
      <c r="R44" s="311"/>
    </row>
    <row r="45" spans="2:24" ht="15.75" thickBot="1" x14ac:dyDescent="0.3">
      <c r="B45" s="312"/>
      <c r="C45" s="313"/>
      <c r="D45" s="313"/>
      <c r="E45" s="313"/>
      <c r="F45" s="313"/>
      <c r="G45" s="313"/>
      <c r="H45" s="313"/>
      <c r="I45" s="313"/>
      <c r="J45" s="313"/>
      <c r="K45" s="313"/>
      <c r="L45" s="313"/>
      <c r="M45" s="313"/>
      <c r="N45" s="313"/>
      <c r="O45" s="313"/>
      <c r="P45" s="313"/>
      <c r="Q45" s="313"/>
      <c r="R45" s="314"/>
    </row>
  </sheetData>
  <mergeCells count="3">
    <mergeCell ref="C3:S3"/>
    <mergeCell ref="D5:E5"/>
    <mergeCell ref="B39:R4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sheetPr codeName="Sheet33"/>
  <dimension ref="A1:X54"/>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207</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419</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205</v>
      </c>
      <c r="D8" s="185" t="s">
        <v>82</v>
      </c>
      <c r="E8" s="186">
        <v>1.7690999999999998E-2</v>
      </c>
      <c r="F8" s="29"/>
      <c r="G8" s="29"/>
      <c r="H8" s="29"/>
      <c r="I8" s="29"/>
      <c r="J8" s="29"/>
      <c r="K8" s="29"/>
      <c r="L8" s="29"/>
      <c r="M8" s="29"/>
      <c r="N8" s="29"/>
      <c r="O8" s="29"/>
      <c r="P8" s="29"/>
      <c r="Q8" s="29"/>
      <c r="R8" s="29"/>
      <c r="S8" s="29"/>
      <c r="T8" s="29"/>
      <c r="U8" s="25"/>
      <c r="W8" s="173" t="s">
        <v>4</v>
      </c>
      <c r="X8" s="224">
        <v>9.8186000000000023E-2</v>
      </c>
    </row>
    <row r="9" spans="1:24" ht="15.75" x14ac:dyDescent="0.25">
      <c r="B9" s="64"/>
      <c r="C9" s="180" t="s">
        <v>209</v>
      </c>
      <c r="D9" s="187" t="s">
        <v>82</v>
      </c>
      <c r="E9" s="188">
        <v>1.431E-2</v>
      </c>
      <c r="F9" s="29"/>
      <c r="G9" s="29"/>
      <c r="H9" s="29"/>
      <c r="I9" s="29"/>
      <c r="J9" s="29"/>
      <c r="K9" s="29"/>
      <c r="L9" s="29"/>
      <c r="M9" s="29"/>
      <c r="N9" s="29"/>
      <c r="O9" s="29"/>
      <c r="P9" s="29"/>
      <c r="Q9" s="29"/>
      <c r="R9" s="29"/>
      <c r="S9" s="29"/>
      <c r="T9" s="29"/>
      <c r="U9" s="25"/>
      <c r="W9" s="173" t="s">
        <v>108</v>
      </c>
      <c r="X9" s="224">
        <v>8.2569999999999977E-2</v>
      </c>
    </row>
    <row r="10" spans="1:24" ht="30" x14ac:dyDescent="0.25">
      <c r="B10" s="64"/>
      <c r="C10" s="180" t="s">
        <v>299</v>
      </c>
      <c r="D10" s="187" t="s">
        <v>108</v>
      </c>
      <c r="E10" s="188">
        <v>1.2529999999999999E-2</v>
      </c>
      <c r="F10" s="29"/>
      <c r="G10" s="29"/>
      <c r="H10" s="29"/>
      <c r="I10" s="29"/>
      <c r="J10" s="29"/>
      <c r="K10" s="29"/>
      <c r="L10" s="29"/>
      <c r="M10" s="29"/>
      <c r="N10" s="29"/>
      <c r="O10" s="29"/>
      <c r="P10" s="29"/>
      <c r="Q10" s="29"/>
      <c r="R10" s="29"/>
      <c r="S10" s="29"/>
      <c r="T10" s="29"/>
      <c r="U10" s="25"/>
      <c r="W10" s="173" t="s">
        <v>82</v>
      </c>
      <c r="X10" s="224">
        <v>8.0498999999999973E-2</v>
      </c>
    </row>
    <row r="11" spans="1:24" ht="15.75" x14ac:dyDescent="0.25">
      <c r="B11" s="64"/>
      <c r="C11" s="180" t="s">
        <v>231</v>
      </c>
      <c r="D11" s="187" t="s">
        <v>16</v>
      </c>
      <c r="E11" s="188">
        <v>1.191E-2</v>
      </c>
      <c r="F11" s="29"/>
      <c r="G11" s="29"/>
      <c r="H11" s="29"/>
      <c r="I11" s="29"/>
      <c r="J11" s="29"/>
      <c r="K11" s="29"/>
      <c r="L11" s="29"/>
      <c r="M11" s="29"/>
      <c r="N11" s="29"/>
      <c r="O11" s="29"/>
      <c r="P11" s="29"/>
      <c r="Q11" s="29"/>
      <c r="R11" s="29"/>
      <c r="S11" s="29"/>
      <c r="T11" s="29"/>
      <c r="U11" s="25"/>
      <c r="W11" s="173" t="s">
        <v>24</v>
      </c>
      <c r="X11" s="224">
        <v>7.3982999999999993E-2</v>
      </c>
    </row>
    <row r="12" spans="1:24" ht="15.75" x14ac:dyDescent="0.25">
      <c r="B12" s="64"/>
      <c r="C12" s="180" t="s">
        <v>279</v>
      </c>
      <c r="D12" s="187" t="s">
        <v>103</v>
      </c>
      <c r="E12" s="188">
        <v>1.0397E-2</v>
      </c>
      <c r="F12" s="29"/>
      <c r="G12" s="29"/>
      <c r="H12" s="29"/>
      <c r="I12" s="29"/>
      <c r="J12" s="29"/>
      <c r="K12" s="29"/>
      <c r="L12" s="29"/>
      <c r="M12" s="29"/>
      <c r="N12" s="29"/>
      <c r="O12" s="29"/>
      <c r="P12" s="29"/>
      <c r="Q12" s="29"/>
      <c r="R12" s="29"/>
      <c r="S12" s="29"/>
      <c r="T12" s="29"/>
      <c r="U12" s="25"/>
      <c r="W12" s="173" t="s">
        <v>113</v>
      </c>
      <c r="X12" s="224">
        <v>5.5467000000000009E-2</v>
      </c>
    </row>
    <row r="13" spans="1:24" ht="15.75" x14ac:dyDescent="0.25">
      <c r="B13" s="64"/>
      <c r="C13" s="180" t="s">
        <v>203</v>
      </c>
      <c r="D13" s="187" t="s">
        <v>82</v>
      </c>
      <c r="E13" s="188">
        <v>9.972E-3</v>
      </c>
      <c r="F13" s="29"/>
      <c r="G13" s="29"/>
      <c r="H13" s="29"/>
      <c r="I13" s="29"/>
      <c r="J13" s="29"/>
      <c r="K13" s="29"/>
      <c r="L13" s="29"/>
      <c r="M13" s="29"/>
      <c r="N13" s="29"/>
      <c r="O13" s="29"/>
      <c r="P13" s="29"/>
      <c r="Q13" s="29"/>
      <c r="R13" s="29"/>
      <c r="S13" s="29"/>
      <c r="T13" s="29"/>
      <c r="U13" s="25"/>
      <c r="W13" s="173" t="s">
        <v>16</v>
      </c>
      <c r="X13" s="224">
        <v>4.9456999999999994E-2</v>
      </c>
    </row>
    <row r="14" spans="1:24" ht="15.75" x14ac:dyDescent="0.25">
      <c r="B14" s="64"/>
      <c r="C14" s="180" t="s">
        <v>182</v>
      </c>
      <c r="D14" s="187" t="s">
        <v>4</v>
      </c>
      <c r="E14" s="188">
        <v>9.7090000000000006E-3</v>
      </c>
      <c r="F14" s="29"/>
      <c r="G14" s="29"/>
      <c r="H14" s="29"/>
      <c r="I14" s="29"/>
      <c r="J14" s="29"/>
      <c r="K14" s="29"/>
      <c r="L14" s="29"/>
      <c r="M14" s="29"/>
      <c r="N14" s="29"/>
      <c r="O14" s="29"/>
      <c r="P14" s="29"/>
      <c r="Q14" s="29"/>
      <c r="R14" s="29"/>
      <c r="S14" s="29"/>
      <c r="T14" s="29"/>
      <c r="U14" s="25"/>
      <c r="W14" s="173" t="s">
        <v>23</v>
      </c>
      <c r="X14" s="224">
        <v>4.3820999999999999E-2</v>
      </c>
    </row>
    <row r="15" spans="1:24" ht="15.75" x14ac:dyDescent="0.25">
      <c r="B15" s="64"/>
      <c r="C15" s="180" t="s">
        <v>375</v>
      </c>
      <c r="D15" s="187" t="s">
        <v>121</v>
      </c>
      <c r="E15" s="188">
        <v>9.6469999999999993E-3</v>
      </c>
      <c r="F15" s="29"/>
      <c r="G15" s="29"/>
      <c r="H15" s="29"/>
      <c r="I15" s="29"/>
      <c r="J15" s="29"/>
      <c r="K15" s="29"/>
      <c r="L15" s="29"/>
      <c r="M15" s="29"/>
      <c r="N15" s="29"/>
      <c r="O15" s="29"/>
      <c r="P15" s="29"/>
      <c r="Q15" s="29"/>
      <c r="R15" s="29"/>
      <c r="S15" s="29"/>
      <c r="T15" s="29"/>
      <c r="U15" s="25"/>
      <c r="W15" s="173" t="s">
        <v>107</v>
      </c>
      <c r="X15" s="224">
        <v>3.9223000000000008E-2</v>
      </c>
    </row>
    <row r="16" spans="1:24" ht="15.75" x14ac:dyDescent="0.25">
      <c r="B16" s="64"/>
      <c r="C16" s="180" t="s">
        <v>354</v>
      </c>
      <c r="D16" s="187" t="s">
        <v>82</v>
      </c>
      <c r="E16" s="188">
        <v>9.2519999999999998E-3</v>
      </c>
      <c r="F16" s="29"/>
      <c r="G16" s="29"/>
      <c r="H16" s="29"/>
      <c r="I16" s="29"/>
      <c r="J16" s="29"/>
      <c r="K16" s="29"/>
      <c r="L16" s="29"/>
      <c r="M16" s="29"/>
      <c r="N16" s="29"/>
      <c r="O16" s="29"/>
      <c r="P16" s="29"/>
      <c r="Q16" s="29"/>
      <c r="R16" s="29"/>
      <c r="S16" s="29"/>
      <c r="T16" s="29"/>
      <c r="U16" s="25"/>
      <c r="W16" s="173" t="s">
        <v>74</v>
      </c>
      <c r="X16" s="224">
        <v>3.8424000000000007E-2</v>
      </c>
    </row>
    <row r="17" spans="2:24" ht="15.75" x14ac:dyDescent="0.25">
      <c r="B17" s="64"/>
      <c r="C17" s="180" t="s">
        <v>334</v>
      </c>
      <c r="D17" s="187" t="s">
        <v>3</v>
      </c>
      <c r="E17" s="188">
        <v>9.1549999999999999E-3</v>
      </c>
      <c r="F17" s="29"/>
      <c r="G17" s="29"/>
      <c r="H17" s="29"/>
      <c r="I17" s="29"/>
      <c r="J17" s="29"/>
      <c r="K17" s="29"/>
      <c r="L17" s="29"/>
      <c r="M17" s="29"/>
      <c r="N17" s="29"/>
      <c r="O17" s="29"/>
      <c r="P17" s="29"/>
      <c r="Q17" s="29"/>
      <c r="R17" s="29"/>
      <c r="S17" s="29"/>
      <c r="T17" s="29"/>
      <c r="U17" s="25"/>
      <c r="W17" s="173" t="s">
        <v>104</v>
      </c>
      <c r="X17" s="224">
        <v>3.2308000000000003E-2</v>
      </c>
    </row>
    <row r="18" spans="2:24" ht="15.75" x14ac:dyDescent="0.25">
      <c r="B18" s="64"/>
      <c r="C18" s="180" t="s">
        <v>363</v>
      </c>
      <c r="D18" s="187" t="s">
        <v>74</v>
      </c>
      <c r="E18" s="188">
        <v>8.822E-3</v>
      </c>
      <c r="F18" s="29"/>
      <c r="G18" s="29"/>
      <c r="H18" s="29"/>
      <c r="I18" s="29"/>
      <c r="J18" s="29"/>
      <c r="K18" s="29"/>
      <c r="L18" s="29"/>
      <c r="M18" s="29"/>
      <c r="N18" s="29"/>
      <c r="O18" s="29"/>
      <c r="P18" s="29"/>
      <c r="Q18" s="29"/>
      <c r="R18" s="29"/>
      <c r="S18" s="29"/>
      <c r="T18" s="29"/>
      <c r="U18" s="25"/>
      <c r="W18" s="173" t="s">
        <v>3</v>
      </c>
      <c r="X18" s="224">
        <v>3.2106999999999997E-2</v>
      </c>
    </row>
    <row r="19" spans="2:24" ht="15.75" x14ac:dyDescent="0.25">
      <c r="B19" s="64"/>
      <c r="C19" s="180" t="s">
        <v>365</v>
      </c>
      <c r="D19" s="187" t="s">
        <v>4</v>
      </c>
      <c r="E19" s="188">
        <v>8.7880000000000007E-3</v>
      </c>
      <c r="F19" s="29"/>
      <c r="G19" s="29"/>
      <c r="H19" s="29"/>
      <c r="I19" s="29"/>
      <c r="J19" s="29"/>
      <c r="K19" s="29"/>
      <c r="L19" s="29"/>
      <c r="M19" s="29"/>
      <c r="N19" s="29"/>
      <c r="O19" s="29"/>
      <c r="P19" s="29"/>
      <c r="Q19" s="29"/>
      <c r="R19" s="29"/>
      <c r="S19" s="29"/>
      <c r="T19" s="29"/>
      <c r="U19" s="25"/>
      <c r="W19" s="173" t="s">
        <v>81</v>
      </c>
      <c r="X19" s="224">
        <v>2.759E-2</v>
      </c>
    </row>
    <row r="20" spans="2:24" ht="15.75" x14ac:dyDescent="0.25">
      <c r="B20" s="64"/>
      <c r="C20" s="180" t="s">
        <v>374</v>
      </c>
      <c r="D20" s="187" t="s">
        <v>134</v>
      </c>
      <c r="E20" s="188">
        <v>8.5129999999999997E-3</v>
      </c>
      <c r="F20" s="29"/>
      <c r="G20" s="29"/>
      <c r="H20" s="29"/>
      <c r="I20" s="29"/>
      <c r="J20" s="29"/>
      <c r="K20" s="29"/>
      <c r="L20" s="29"/>
      <c r="M20" s="29"/>
      <c r="N20" s="29"/>
      <c r="O20" s="29"/>
      <c r="P20" s="29"/>
      <c r="Q20" s="29"/>
      <c r="R20" s="29"/>
      <c r="S20" s="29"/>
      <c r="T20" s="29"/>
      <c r="U20" s="25"/>
      <c r="W20" s="173" t="s">
        <v>134</v>
      </c>
      <c r="X20" s="224">
        <v>2.5714999999999998E-2</v>
      </c>
    </row>
    <row r="21" spans="2:24" ht="15.75" x14ac:dyDescent="0.25">
      <c r="B21" s="64"/>
      <c r="C21" s="180" t="s">
        <v>438</v>
      </c>
      <c r="D21" s="187" t="s">
        <v>10</v>
      </c>
      <c r="E21" s="188">
        <v>8.5079999999999999E-3</v>
      </c>
      <c r="F21" s="29"/>
      <c r="G21" s="29"/>
      <c r="H21" s="29"/>
      <c r="I21" s="29"/>
      <c r="J21" s="29"/>
      <c r="K21" s="29"/>
      <c r="L21" s="29"/>
      <c r="M21" s="29"/>
      <c r="N21" s="29"/>
      <c r="O21" s="29"/>
      <c r="P21" s="29"/>
      <c r="Q21" s="29"/>
      <c r="R21" s="29"/>
      <c r="S21" s="29"/>
      <c r="T21" s="29"/>
      <c r="U21" s="25"/>
      <c r="W21" s="173" t="s">
        <v>10</v>
      </c>
      <c r="X21" s="224">
        <v>2.2658000000000001E-2</v>
      </c>
    </row>
    <row r="22" spans="2:24" ht="30" x14ac:dyDescent="0.25">
      <c r="B22" s="64"/>
      <c r="C22" s="180" t="s">
        <v>364</v>
      </c>
      <c r="D22" s="187" t="s">
        <v>123</v>
      </c>
      <c r="E22" s="188">
        <v>8.0780000000000001E-3</v>
      </c>
      <c r="F22" s="29"/>
      <c r="G22" s="29"/>
      <c r="H22" s="29"/>
      <c r="I22" s="29"/>
      <c r="J22" s="29"/>
      <c r="K22" s="29"/>
      <c r="L22" s="29"/>
      <c r="M22" s="29"/>
      <c r="N22" s="29"/>
      <c r="O22" s="29"/>
      <c r="P22" s="29"/>
      <c r="Q22" s="29"/>
      <c r="R22" s="29"/>
      <c r="S22" s="29"/>
      <c r="T22" s="29"/>
      <c r="U22" s="25"/>
      <c r="W22" s="173" t="s">
        <v>110</v>
      </c>
      <c r="X22" s="224">
        <v>2.0704E-2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123</v>
      </c>
      <c r="X23" s="224">
        <v>2.0053000000000001E-2</v>
      </c>
    </row>
    <row r="24" spans="2:24" ht="15.75" x14ac:dyDescent="0.25">
      <c r="B24" s="64"/>
      <c r="C24" s="73" t="s">
        <v>55</v>
      </c>
      <c r="D24" s="74"/>
      <c r="E24" s="75">
        <f>SUM(E8:E22)</f>
        <v>0.15728199999999998</v>
      </c>
      <c r="F24" s="29"/>
      <c r="G24" s="29"/>
      <c r="H24" s="29"/>
      <c r="I24" s="29"/>
      <c r="J24" s="29"/>
      <c r="K24" s="29"/>
      <c r="L24" s="29"/>
      <c r="M24" s="29"/>
      <c r="N24" s="29"/>
      <c r="O24" s="29"/>
      <c r="P24" s="29"/>
      <c r="Q24" s="29"/>
      <c r="R24" s="29"/>
      <c r="S24" s="29"/>
      <c r="T24" s="29"/>
      <c r="U24" s="25"/>
      <c r="W24" s="173" t="s">
        <v>116</v>
      </c>
      <c r="X24" s="224">
        <v>1.8681999999999997E-2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121</v>
      </c>
      <c r="X25" s="224">
        <v>1.8336999999999999E-2</v>
      </c>
    </row>
    <row r="26" spans="2:24" x14ac:dyDescent="0.25">
      <c r="B26" s="64"/>
      <c r="C26" s="29"/>
      <c r="D26" s="29"/>
      <c r="E26" s="29"/>
      <c r="F26" s="29"/>
      <c r="G26" s="29"/>
      <c r="H26" s="29"/>
      <c r="I26" s="29"/>
      <c r="J26" s="29"/>
      <c r="K26" s="29"/>
      <c r="L26" s="29"/>
      <c r="M26" s="29"/>
      <c r="N26" s="29"/>
      <c r="O26" s="29"/>
      <c r="P26" s="29"/>
      <c r="Q26" s="29"/>
      <c r="R26" s="29"/>
      <c r="S26" s="29"/>
      <c r="T26" s="29"/>
      <c r="U26" s="25"/>
      <c r="W26" s="173" t="s">
        <v>111</v>
      </c>
      <c r="X26" s="224">
        <v>1.5921999999999999E-2</v>
      </c>
    </row>
    <row r="27" spans="2:24" x14ac:dyDescent="0.25">
      <c r="B27" s="64"/>
      <c r="C27" s="29"/>
      <c r="D27" s="29"/>
      <c r="E27" s="29"/>
      <c r="F27" s="29"/>
      <c r="G27" s="29"/>
      <c r="H27" s="29"/>
      <c r="I27" s="29"/>
      <c r="J27" s="29"/>
      <c r="K27" s="29"/>
      <c r="L27" s="29"/>
      <c r="M27" s="29"/>
      <c r="N27" s="29"/>
      <c r="O27" s="29"/>
      <c r="P27" s="29"/>
      <c r="Q27" s="29"/>
      <c r="R27" s="29"/>
      <c r="S27" s="29"/>
      <c r="T27" s="29"/>
      <c r="U27" s="25"/>
      <c r="W27" s="173" t="s">
        <v>115</v>
      </c>
      <c r="X27" s="224">
        <v>1.5455999999999999E-2</v>
      </c>
    </row>
    <row r="28" spans="2:24" x14ac:dyDescent="0.25">
      <c r="B28" s="64"/>
      <c r="C28" s="29"/>
      <c r="D28" s="29"/>
      <c r="E28" s="29"/>
      <c r="F28" s="29"/>
      <c r="G28" s="29"/>
      <c r="H28" s="29"/>
      <c r="I28" s="29"/>
      <c r="J28" s="29"/>
      <c r="K28" s="29"/>
      <c r="L28" s="29"/>
      <c r="M28" s="29"/>
      <c r="N28" s="29"/>
      <c r="O28" s="29"/>
      <c r="P28" s="29"/>
      <c r="Q28" s="29"/>
      <c r="R28" s="29"/>
      <c r="S28" s="29"/>
      <c r="T28" s="29"/>
      <c r="U28" s="25"/>
      <c r="W28" s="173" t="s">
        <v>25</v>
      </c>
      <c r="X28" s="224">
        <v>1.4974999999999999E-2</v>
      </c>
    </row>
    <row r="29" spans="2:24" x14ac:dyDescent="0.25">
      <c r="B29" s="64"/>
      <c r="C29" s="29"/>
      <c r="D29" s="29"/>
      <c r="E29" s="29"/>
      <c r="F29" s="29"/>
      <c r="G29" s="29"/>
      <c r="H29" s="29"/>
      <c r="I29" s="29"/>
      <c r="J29" s="29"/>
      <c r="K29" s="29"/>
      <c r="L29" s="29"/>
      <c r="M29" s="29"/>
      <c r="N29" s="29"/>
      <c r="O29" s="29"/>
      <c r="P29" s="29"/>
      <c r="Q29" s="29"/>
      <c r="R29" s="29"/>
      <c r="S29" s="29"/>
      <c r="T29" s="29"/>
      <c r="U29" s="25"/>
      <c r="W29" s="173" t="s">
        <v>84</v>
      </c>
      <c r="X29" s="224">
        <v>1.4166999999999999E-2</v>
      </c>
    </row>
    <row r="30" spans="2:24" x14ac:dyDescent="0.25">
      <c r="B30" s="64"/>
      <c r="C30" s="29"/>
      <c r="D30" s="29"/>
      <c r="E30" s="29"/>
      <c r="F30" s="29"/>
      <c r="G30" s="29"/>
      <c r="H30" s="29"/>
      <c r="I30" s="29"/>
      <c r="J30" s="29"/>
      <c r="K30" s="29"/>
      <c r="L30" s="29"/>
      <c r="M30" s="29"/>
      <c r="N30" s="29"/>
      <c r="O30" s="29"/>
      <c r="P30" s="29"/>
      <c r="Q30" s="29"/>
      <c r="R30" s="29"/>
      <c r="S30" s="29"/>
      <c r="T30" s="29"/>
      <c r="U30" s="25"/>
      <c r="W30" s="173" t="s">
        <v>92</v>
      </c>
      <c r="X30" s="224">
        <v>1.4043E-2</v>
      </c>
    </row>
    <row r="31" spans="2:24" x14ac:dyDescent="0.25">
      <c r="B31" s="64"/>
      <c r="C31" s="29"/>
      <c r="D31" s="29"/>
      <c r="E31" s="29"/>
      <c r="F31" s="29"/>
      <c r="G31" s="29"/>
      <c r="H31" s="29"/>
      <c r="I31" s="29"/>
      <c r="J31" s="29"/>
      <c r="K31" s="29"/>
      <c r="L31" s="29"/>
      <c r="M31" s="29"/>
      <c r="N31" s="29"/>
      <c r="O31" s="29"/>
      <c r="P31" s="29"/>
      <c r="Q31" s="29"/>
      <c r="R31" s="29"/>
      <c r="S31" s="29"/>
      <c r="T31" s="29"/>
      <c r="U31" s="25"/>
      <c r="W31" s="173" t="s">
        <v>112</v>
      </c>
      <c r="X31" s="224">
        <v>1.3372999999999999E-2</v>
      </c>
    </row>
    <row r="32" spans="2:24" x14ac:dyDescent="0.25">
      <c r="B32" s="64"/>
      <c r="C32" s="29"/>
      <c r="D32" s="29"/>
      <c r="E32" s="29"/>
      <c r="F32" s="29"/>
      <c r="G32" s="29"/>
      <c r="H32" s="29"/>
      <c r="I32" s="29"/>
      <c r="J32" s="29"/>
      <c r="K32" s="29"/>
      <c r="L32" s="29"/>
      <c r="M32" s="29"/>
      <c r="N32" s="29"/>
      <c r="O32" s="29"/>
      <c r="P32" s="29"/>
      <c r="Q32" s="29"/>
      <c r="R32" s="29"/>
      <c r="S32" s="29"/>
      <c r="T32" s="29"/>
      <c r="U32" s="25"/>
      <c r="W32" s="173" t="s">
        <v>105</v>
      </c>
      <c r="X32" s="224">
        <v>1.1193E-2</v>
      </c>
    </row>
    <row r="33" spans="2:24" x14ac:dyDescent="0.25">
      <c r="B33" s="64"/>
      <c r="C33" s="29"/>
      <c r="D33" s="29"/>
      <c r="E33" s="29"/>
      <c r="F33" s="29"/>
      <c r="G33" s="29"/>
      <c r="H33" s="29"/>
      <c r="I33" s="29"/>
      <c r="J33" s="29"/>
      <c r="K33" s="29"/>
      <c r="L33" s="29"/>
      <c r="M33" s="29"/>
      <c r="N33" s="29"/>
      <c r="O33" s="29"/>
      <c r="P33" s="29"/>
      <c r="Q33" s="29"/>
      <c r="R33" s="29"/>
      <c r="S33" s="29"/>
      <c r="T33" s="29"/>
      <c r="U33" s="25"/>
      <c r="W33" s="173" t="s">
        <v>26</v>
      </c>
      <c r="X33" s="224">
        <v>1.0806E-2</v>
      </c>
    </row>
    <row r="34" spans="2:24" x14ac:dyDescent="0.25">
      <c r="B34" s="64"/>
      <c r="C34" s="29"/>
      <c r="D34" s="29"/>
      <c r="E34" s="29"/>
      <c r="F34" s="29"/>
      <c r="G34" s="29"/>
      <c r="H34" s="29"/>
      <c r="I34" s="29"/>
      <c r="J34" s="29"/>
      <c r="K34" s="29"/>
      <c r="L34" s="29"/>
      <c r="M34" s="29"/>
      <c r="N34" s="29"/>
      <c r="O34" s="29"/>
      <c r="P34" s="29"/>
      <c r="Q34" s="29"/>
      <c r="R34" s="29"/>
      <c r="S34" s="29"/>
      <c r="T34" s="29"/>
      <c r="U34" s="25"/>
      <c r="W34" s="173" t="s">
        <v>103</v>
      </c>
      <c r="X34" s="224">
        <v>1.0397E-2</v>
      </c>
    </row>
    <row r="35" spans="2:24" x14ac:dyDescent="0.25">
      <c r="B35" s="64"/>
      <c r="C35" s="29"/>
      <c r="D35" s="29"/>
      <c r="E35" s="29"/>
      <c r="F35" s="29"/>
      <c r="G35" s="29"/>
      <c r="H35" s="29"/>
      <c r="I35" s="29"/>
      <c r="J35" s="29"/>
      <c r="K35" s="29"/>
      <c r="L35" s="29"/>
      <c r="M35" s="29"/>
      <c r="N35" s="29"/>
      <c r="O35" s="29"/>
      <c r="P35" s="29"/>
      <c r="Q35" s="29"/>
      <c r="R35" s="29"/>
      <c r="S35" s="29"/>
      <c r="T35" s="29"/>
      <c r="U35" s="25"/>
      <c r="W35" s="173" t="s">
        <v>119</v>
      </c>
      <c r="X35" s="224">
        <v>9.5849999999999998E-3</v>
      </c>
    </row>
    <row r="36" spans="2:24" x14ac:dyDescent="0.25">
      <c r="B36" s="64"/>
      <c r="C36" s="29"/>
      <c r="D36" s="29"/>
      <c r="E36" s="29"/>
      <c r="F36" s="29"/>
      <c r="G36" s="29"/>
      <c r="H36" s="29"/>
      <c r="I36" s="29"/>
      <c r="J36" s="29"/>
      <c r="K36" s="29"/>
      <c r="L36" s="29"/>
      <c r="M36" s="29"/>
      <c r="N36" s="29"/>
      <c r="O36" s="29"/>
      <c r="P36" s="29"/>
      <c r="Q36" s="29"/>
      <c r="R36" s="29"/>
      <c r="S36" s="29"/>
      <c r="T36" s="29"/>
      <c r="U36" s="25"/>
      <c r="W36" s="173" t="s">
        <v>12</v>
      </c>
      <c r="X36" s="224">
        <v>8.7999999999999988E-3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173" t="s">
        <v>80</v>
      </c>
      <c r="X37" s="224">
        <v>8.6029999999999995E-3</v>
      </c>
    </row>
    <row r="38" spans="2:24" ht="15.75" thickBot="1" x14ac:dyDescent="0.3">
      <c r="W38" s="173" t="s">
        <v>6</v>
      </c>
      <c r="X38" s="224">
        <v>7.2059999999999997E-3</v>
      </c>
    </row>
    <row r="39" spans="2:24" ht="15" customHeight="1" x14ac:dyDescent="0.25">
      <c r="B39" s="306" t="s">
        <v>177</v>
      </c>
      <c r="C39" s="307"/>
      <c r="D39" s="307"/>
      <c r="E39" s="307"/>
      <c r="F39" s="307"/>
      <c r="G39" s="307"/>
      <c r="H39" s="307"/>
      <c r="I39" s="307"/>
      <c r="J39" s="307"/>
      <c r="K39" s="307"/>
      <c r="L39" s="307"/>
      <c r="M39" s="307"/>
      <c r="N39" s="307"/>
      <c r="O39" s="307"/>
      <c r="P39" s="307"/>
      <c r="Q39" s="307"/>
      <c r="R39" s="308"/>
      <c r="W39" s="173" t="s">
        <v>124</v>
      </c>
      <c r="X39" s="224">
        <v>6.9490000000000003E-3</v>
      </c>
    </row>
    <row r="40" spans="2:24" x14ac:dyDescent="0.25">
      <c r="B40" s="309"/>
      <c r="C40" s="310"/>
      <c r="D40" s="310"/>
      <c r="E40" s="310"/>
      <c r="F40" s="310"/>
      <c r="G40" s="310"/>
      <c r="H40" s="310"/>
      <c r="I40" s="310"/>
      <c r="J40" s="310"/>
      <c r="K40" s="310"/>
      <c r="L40" s="310"/>
      <c r="M40" s="310"/>
      <c r="N40" s="310"/>
      <c r="O40" s="310"/>
      <c r="P40" s="310"/>
      <c r="Q40" s="310"/>
      <c r="R40" s="311"/>
      <c r="W40" s="173" t="s">
        <v>118</v>
      </c>
      <c r="X40" s="224">
        <v>6.3020000000000003E-3</v>
      </c>
    </row>
    <row r="41" spans="2:24" x14ac:dyDescent="0.25">
      <c r="B41" s="309"/>
      <c r="C41" s="310"/>
      <c r="D41" s="310"/>
      <c r="E41" s="310"/>
      <c r="F41" s="310"/>
      <c r="G41" s="310"/>
      <c r="H41" s="310"/>
      <c r="I41" s="310"/>
      <c r="J41" s="310"/>
      <c r="K41" s="310"/>
      <c r="L41" s="310"/>
      <c r="M41" s="310"/>
      <c r="N41" s="310"/>
      <c r="O41" s="310"/>
      <c r="P41" s="310"/>
      <c r="Q41" s="310"/>
      <c r="R41" s="311"/>
      <c r="W41" s="173" t="s">
        <v>125</v>
      </c>
      <c r="X41" s="224">
        <v>6.2030000000000002E-3</v>
      </c>
    </row>
    <row r="42" spans="2:24" x14ac:dyDescent="0.25">
      <c r="B42" s="309"/>
      <c r="C42" s="310"/>
      <c r="D42" s="310"/>
      <c r="E42" s="310"/>
      <c r="F42" s="310"/>
      <c r="G42" s="310"/>
      <c r="H42" s="310"/>
      <c r="I42" s="310"/>
      <c r="J42" s="310"/>
      <c r="K42" s="310"/>
      <c r="L42" s="310"/>
      <c r="M42" s="310"/>
      <c r="N42" s="310"/>
      <c r="O42" s="310"/>
      <c r="P42" s="310"/>
      <c r="Q42" s="310"/>
      <c r="R42" s="311"/>
      <c r="W42" s="173" t="s">
        <v>122</v>
      </c>
      <c r="X42" s="224">
        <v>5.9839999999999997E-3</v>
      </c>
    </row>
    <row r="43" spans="2:24" x14ac:dyDescent="0.25">
      <c r="B43" s="309"/>
      <c r="C43" s="310"/>
      <c r="D43" s="310"/>
      <c r="E43" s="310"/>
      <c r="F43" s="310"/>
      <c r="G43" s="310"/>
      <c r="H43" s="310"/>
      <c r="I43" s="310"/>
      <c r="J43" s="310"/>
      <c r="K43" s="310"/>
      <c r="L43" s="310"/>
      <c r="M43" s="310"/>
      <c r="N43" s="310"/>
      <c r="O43" s="310"/>
      <c r="P43" s="310"/>
      <c r="Q43" s="310"/>
      <c r="R43" s="311"/>
      <c r="W43" s="173" t="s">
        <v>83</v>
      </c>
      <c r="X43" s="224">
        <v>5.5980000000000005E-3</v>
      </c>
    </row>
    <row r="44" spans="2:24" x14ac:dyDescent="0.25">
      <c r="B44" s="309"/>
      <c r="C44" s="310"/>
      <c r="D44" s="310"/>
      <c r="E44" s="310"/>
      <c r="F44" s="310"/>
      <c r="G44" s="310"/>
      <c r="H44" s="310"/>
      <c r="I44" s="310"/>
      <c r="J44" s="310"/>
      <c r="K44" s="310"/>
      <c r="L44" s="310"/>
      <c r="M44" s="310"/>
      <c r="N44" s="310"/>
      <c r="O44" s="310"/>
      <c r="P44" s="310"/>
      <c r="Q44" s="310"/>
      <c r="R44" s="311"/>
      <c r="W44" s="173" t="s">
        <v>180</v>
      </c>
      <c r="X44" s="224">
        <v>4.7829999999999999E-3</v>
      </c>
    </row>
    <row r="45" spans="2:24" ht="15.75" thickBot="1" x14ac:dyDescent="0.3">
      <c r="B45" s="312"/>
      <c r="C45" s="313"/>
      <c r="D45" s="313"/>
      <c r="E45" s="313"/>
      <c r="F45" s="313"/>
      <c r="G45" s="313"/>
      <c r="H45" s="313"/>
      <c r="I45" s="313"/>
      <c r="J45" s="313"/>
      <c r="K45" s="313"/>
      <c r="L45" s="313"/>
      <c r="M45" s="313"/>
      <c r="N45" s="313"/>
      <c r="O45" s="313"/>
      <c r="P45" s="313"/>
      <c r="Q45" s="313"/>
      <c r="R45" s="314"/>
      <c r="W45" s="173" t="s">
        <v>317</v>
      </c>
      <c r="X45" s="224">
        <v>4.7650000000000001E-3</v>
      </c>
    </row>
    <row r="46" spans="2:24" x14ac:dyDescent="0.25">
      <c r="W46" s="173" t="s">
        <v>208</v>
      </c>
      <c r="X46" s="224">
        <v>4.529E-3</v>
      </c>
    </row>
    <row r="47" spans="2:24" x14ac:dyDescent="0.25">
      <c r="W47" s="173" t="s">
        <v>11</v>
      </c>
      <c r="X47" s="224">
        <v>4.4150000000000005E-3</v>
      </c>
    </row>
    <row r="48" spans="2:24" x14ac:dyDescent="0.25">
      <c r="W48" s="173" t="s">
        <v>143</v>
      </c>
      <c r="X48" s="224">
        <v>4.352E-3</v>
      </c>
    </row>
    <row r="49" spans="23:24" x14ac:dyDescent="0.25">
      <c r="W49" s="173" t="s">
        <v>15</v>
      </c>
      <c r="X49" s="224">
        <v>4.2659999999999998E-3</v>
      </c>
    </row>
    <row r="50" spans="23:24" x14ac:dyDescent="0.25">
      <c r="W50" s="173" t="s">
        <v>120</v>
      </c>
      <c r="X50" s="224">
        <v>2.787E-3</v>
      </c>
    </row>
    <row r="51" spans="23:24" x14ac:dyDescent="0.25">
      <c r="W51" s="173" t="s">
        <v>109</v>
      </c>
      <c r="X51" s="224">
        <v>2.643E-3</v>
      </c>
    </row>
    <row r="52" spans="23:24" x14ac:dyDescent="0.25">
      <c r="W52" s="173" t="s">
        <v>127</v>
      </c>
      <c r="X52" s="224">
        <v>2.225E-3</v>
      </c>
    </row>
    <row r="53" spans="23:24" x14ac:dyDescent="0.25">
      <c r="W53" s="173"/>
      <c r="X53" s="224"/>
    </row>
    <row r="54" spans="23:24" x14ac:dyDescent="0.25">
      <c r="W54" s="173"/>
      <c r="X54" s="224"/>
    </row>
  </sheetData>
  <mergeCells count="3">
    <mergeCell ref="C3:S3"/>
    <mergeCell ref="D5:E5"/>
    <mergeCell ref="B39:R4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F7DA-CB3C-4DA8-B0A0-98418BAD53A4}">
  <sheetPr codeName="Sheet34"/>
  <dimension ref="A1:X63"/>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252</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420</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29</v>
      </c>
      <c r="D8" s="185" t="s">
        <v>3</v>
      </c>
      <c r="E8" s="186">
        <v>7.5163999999999995E-2</v>
      </c>
      <c r="F8" s="29"/>
      <c r="G8" s="29"/>
      <c r="H8" s="29"/>
      <c r="I8" s="29"/>
      <c r="J8" s="29"/>
      <c r="K8" s="29"/>
      <c r="L8" s="29"/>
      <c r="M8" s="29"/>
      <c r="N8" s="29"/>
      <c r="O8" s="29"/>
      <c r="P8" s="29"/>
      <c r="Q8" s="29"/>
      <c r="R8" s="29"/>
      <c r="S8" s="29"/>
      <c r="T8" s="29"/>
      <c r="U8" s="25"/>
      <c r="W8" s="173" t="s">
        <v>3</v>
      </c>
      <c r="X8" s="224">
        <v>0.20286800000000002</v>
      </c>
    </row>
    <row r="9" spans="1:24" ht="15.75" x14ac:dyDescent="0.25">
      <c r="B9" s="64"/>
      <c r="C9" s="180" t="s">
        <v>32</v>
      </c>
      <c r="D9" s="187" t="s">
        <v>3</v>
      </c>
      <c r="E9" s="188">
        <v>5.1845000000000002E-2</v>
      </c>
      <c r="F9" s="29"/>
      <c r="G9" s="29"/>
      <c r="H9" s="29"/>
      <c r="I9" s="29"/>
      <c r="J9" s="29"/>
      <c r="K9" s="29"/>
      <c r="L9" s="29"/>
      <c r="M9" s="29"/>
      <c r="N9" s="29"/>
      <c r="O9" s="29"/>
      <c r="P9" s="29"/>
      <c r="Q9" s="29"/>
      <c r="R9" s="29"/>
      <c r="S9" s="29"/>
      <c r="T9" s="29"/>
      <c r="U9" s="25"/>
      <c r="W9" s="173" t="s">
        <v>104</v>
      </c>
      <c r="X9" s="224">
        <v>8.0572000000000005E-2</v>
      </c>
    </row>
    <row r="10" spans="1:24" ht="15.75" x14ac:dyDescent="0.25">
      <c r="B10" s="64"/>
      <c r="C10" s="180" t="s">
        <v>31</v>
      </c>
      <c r="D10" s="187" t="s">
        <v>6</v>
      </c>
      <c r="E10" s="188">
        <v>4.8910000000000002E-2</v>
      </c>
      <c r="F10" s="29"/>
      <c r="G10" s="29"/>
      <c r="H10" s="29"/>
      <c r="I10" s="29"/>
      <c r="J10" s="29"/>
      <c r="K10" s="29"/>
      <c r="L10" s="29"/>
      <c r="M10" s="29"/>
      <c r="N10" s="29"/>
      <c r="O10" s="29"/>
      <c r="P10" s="29"/>
      <c r="Q10" s="29"/>
      <c r="R10" s="29"/>
      <c r="S10" s="29"/>
      <c r="T10" s="29"/>
      <c r="U10" s="25"/>
      <c r="W10" s="173" t="s">
        <v>4</v>
      </c>
      <c r="X10" s="224">
        <v>6.2151999999999999E-2</v>
      </c>
    </row>
    <row r="11" spans="1:24" ht="15.75" x14ac:dyDescent="0.25">
      <c r="B11" s="64"/>
      <c r="C11" s="180" t="s">
        <v>28</v>
      </c>
      <c r="D11" s="187" t="s">
        <v>104</v>
      </c>
      <c r="E11" s="188">
        <v>2.8579E-2</v>
      </c>
      <c r="F11" s="29"/>
      <c r="G11" s="29"/>
      <c r="H11" s="29"/>
      <c r="I11" s="29"/>
      <c r="J11" s="29"/>
      <c r="K11" s="29"/>
      <c r="L11" s="29"/>
      <c r="M11" s="29"/>
      <c r="N11" s="29"/>
      <c r="O11" s="29"/>
      <c r="P11" s="29"/>
      <c r="Q11" s="29"/>
      <c r="R11" s="29"/>
      <c r="S11" s="29"/>
      <c r="T11" s="29"/>
      <c r="U11" s="25"/>
      <c r="W11" s="173" t="s">
        <v>6</v>
      </c>
      <c r="X11" s="224">
        <v>5.7668999999999998E-2</v>
      </c>
    </row>
    <row r="12" spans="1:24" ht="15.75" x14ac:dyDescent="0.25">
      <c r="B12" s="64"/>
      <c r="C12" s="180" t="s">
        <v>70</v>
      </c>
      <c r="D12" s="187" t="s">
        <v>12</v>
      </c>
      <c r="E12" s="188">
        <v>2.5298000000000001E-2</v>
      </c>
      <c r="F12" s="29"/>
      <c r="G12" s="29"/>
      <c r="H12" s="29"/>
      <c r="I12" s="29"/>
      <c r="J12" s="29"/>
      <c r="K12" s="29"/>
      <c r="L12" s="29"/>
      <c r="M12" s="29"/>
      <c r="N12" s="29"/>
      <c r="O12" s="29"/>
      <c r="P12" s="29"/>
      <c r="Q12" s="29"/>
      <c r="R12" s="29"/>
      <c r="S12" s="29"/>
      <c r="T12" s="29"/>
      <c r="U12" s="25"/>
      <c r="W12" s="173" t="s">
        <v>108</v>
      </c>
      <c r="X12" s="224">
        <v>4.7592000000000009E-2</v>
      </c>
    </row>
    <row r="13" spans="1:24" ht="15.75" x14ac:dyDescent="0.25">
      <c r="B13" s="64"/>
      <c r="C13" s="180" t="s">
        <v>34</v>
      </c>
      <c r="D13" s="187" t="s">
        <v>23</v>
      </c>
      <c r="E13" s="188">
        <v>2.1919999999999999E-2</v>
      </c>
      <c r="F13" s="29"/>
      <c r="G13" s="29"/>
      <c r="H13" s="29"/>
      <c r="I13" s="29"/>
      <c r="J13" s="29"/>
      <c r="K13" s="29"/>
      <c r="L13" s="29"/>
      <c r="M13" s="29"/>
      <c r="N13" s="29"/>
      <c r="O13" s="29"/>
      <c r="P13" s="29"/>
      <c r="Q13" s="29"/>
      <c r="R13" s="29"/>
      <c r="S13" s="29"/>
      <c r="T13" s="29"/>
      <c r="U13" s="25"/>
      <c r="W13" s="173" t="s">
        <v>109</v>
      </c>
      <c r="X13" s="224">
        <v>4.5916000000000005E-2</v>
      </c>
    </row>
    <row r="14" spans="1:24" ht="15.75" x14ac:dyDescent="0.25">
      <c r="B14" s="64"/>
      <c r="C14" s="180" t="s">
        <v>30</v>
      </c>
      <c r="D14" s="187" t="s">
        <v>114</v>
      </c>
      <c r="E14" s="188">
        <v>1.9769999999999999E-2</v>
      </c>
      <c r="F14" s="29"/>
      <c r="G14" s="29"/>
      <c r="H14" s="29"/>
      <c r="I14" s="29"/>
      <c r="J14" s="29"/>
      <c r="K14" s="29"/>
      <c r="L14" s="29"/>
      <c r="M14" s="29"/>
      <c r="N14" s="29"/>
      <c r="O14" s="29"/>
      <c r="P14" s="29"/>
      <c r="Q14" s="29"/>
      <c r="R14" s="29"/>
      <c r="S14" s="29"/>
      <c r="T14" s="29"/>
      <c r="U14" s="25"/>
      <c r="W14" s="173" t="s">
        <v>10</v>
      </c>
      <c r="X14" s="224">
        <v>3.2224000000000003E-2</v>
      </c>
    </row>
    <row r="15" spans="1:24" ht="15.75" x14ac:dyDescent="0.25">
      <c r="B15" s="64"/>
      <c r="C15" s="180" t="s">
        <v>33</v>
      </c>
      <c r="D15" s="187" t="s">
        <v>104</v>
      </c>
      <c r="E15" s="188">
        <v>1.7972999999999999E-2</v>
      </c>
      <c r="F15" s="29"/>
      <c r="G15" s="29"/>
      <c r="H15" s="29"/>
      <c r="I15" s="29"/>
      <c r="J15" s="29"/>
      <c r="K15" s="29"/>
      <c r="L15" s="29"/>
      <c r="M15" s="29"/>
      <c r="N15" s="29"/>
      <c r="O15" s="29"/>
      <c r="P15" s="29"/>
      <c r="Q15" s="29"/>
      <c r="R15" s="29"/>
      <c r="S15" s="29"/>
      <c r="T15" s="29"/>
      <c r="U15" s="25"/>
      <c r="W15" s="173" t="s">
        <v>12</v>
      </c>
      <c r="X15" s="224">
        <v>3.1434999999999998E-2</v>
      </c>
    </row>
    <row r="16" spans="1:24" ht="15.75" x14ac:dyDescent="0.25">
      <c r="B16" s="64"/>
      <c r="C16" s="180" t="s">
        <v>36</v>
      </c>
      <c r="D16" s="187" t="s">
        <v>3</v>
      </c>
      <c r="E16" s="188">
        <v>1.7305999999999998E-2</v>
      </c>
      <c r="F16" s="29"/>
      <c r="G16" s="29"/>
      <c r="H16" s="29"/>
      <c r="I16" s="29"/>
      <c r="J16" s="29"/>
      <c r="K16" s="29"/>
      <c r="L16" s="29"/>
      <c r="M16" s="29"/>
      <c r="N16" s="29"/>
      <c r="O16" s="29"/>
      <c r="P16" s="29"/>
      <c r="Q16" s="29"/>
      <c r="R16" s="29"/>
      <c r="S16" s="29"/>
      <c r="T16" s="29"/>
      <c r="U16" s="25"/>
      <c r="W16" s="173" t="s">
        <v>114</v>
      </c>
      <c r="X16" s="224">
        <v>3.0359999999999998E-2</v>
      </c>
    </row>
    <row r="17" spans="2:24" ht="15.75" x14ac:dyDescent="0.25">
      <c r="B17" s="64"/>
      <c r="C17" s="180" t="s">
        <v>76</v>
      </c>
      <c r="D17" s="187" t="s">
        <v>3</v>
      </c>
      <c r="E17" s="188">
        <v>1.5855000000000001E-2</v>
      </c>
      <c r="F17" s="29"/>
      <c r="G17" s="29"/>
      <c r="H17" s="29"/>
      <c r="I17" s="29"/>
      <c r="J17" s="29"/>
      <c r="K17" s="29"/>
      <c r="L17" s="29"/>
      <c r="M17" s="29"/>
      <c r="N17" s="29"/>
      <c r="O17" s="29"/>
      <c r="P17" s="29"/>
      <c r="Q17" s="29"/>
      <c r="R17" s="29"/>
      <c r="S17" s="29"/>
      <c r="T17" s="29"/>
      <c r="U17" s="25"/>
      <c r="W17" s="173" t="s">
        <v>23</v>
      </c>
      <c r="X17" s="224">
        <v>3.0018E-2</v>
      </c>
    </row>
    <row r="18" spans="2:24" ht="15.75" x14ac:dyDescent="0.25">
      <c r="B18" s="64"/>
      <c r="C18" s="180" t="s">
        <v>35</v>
      </c>
      <c r="D18" s="187" t="s">
        <v>3</v>
      </c>
      <c r="E18" s="188">
        <v>1.5497E-2</v>
      </c>
      <c r="F18" s="29"/>
      <c r="G18" s="29"/>
      <c r="H18" s="29"/>
      <c r="I18" s="29"/>
      <c r="J18" s="29"/>
      <c r="K18" s="29"/>
      <c r="L18" s="29"/>
      <c r="M18" s="29"/>
      <c r="N18" s="29"/>
      <c r="O18" s="29"/>
      <c r="P18" s="29"/>
      <c r="Q18" s="29"/>
      <c r="R18" s="29"/>
      <c r="S18" s="29"/>
      <c r="T18" s="29"/>
      <c r="U18" s="25"/>
      <c r="W18" s="173" t="s">
        <v>16</v>
      </c>
      <c r="X18" s="224">
        <v>2.9276E-2</v>
      </c>
    </row>
    <row r="19" spans="2:24" ht="15.75" x14ac:dyDescent="0.25">
      <c r="B19" s="64"/>
      <c r="C19" s="180" t="s">
        <v>117</v>
      </c>
      <c r="D19" s="187" t="s">
        <v>109</v>
      </c>
      <c r="E19" s="188">
        <v>1.3402000000000001E-2</v>
      </c>
      <c r="F19" s="29"/>
      <c r="G19" s="29"/>
      <c r="H19" s="29"/>
      <c r="I19" s="29"/>
      <c r="J19" s="29"/>
      <c r="K19" s="29"/>
      <c r="L19" s="29"/>
      <c r="M19" s="29"/>
      <c r="N19" s="29"/>
      <c r="O19" s="29"/>
      <c r="P19" s="29"/>
      <c r="Q19" s="29"/>
      <c r="R19" s="29"/>
      <c r="S19" s="29"/>
      <c r="T19" s="29"/>
      <c r="U19" s="25"/>
      <c r="W19" s="173" t="s">
        <v>26</v>
      </c>
      <c r="X19" s="224">
        <v>2.6251000000000003E-2</v>
      </c>
    </row>
    <row r="20" spans="2:24" ht="15.75" x14ac:dyDescent="0.25">
      <c r="B20" s="64"/>
      <c r="C20" s="180" t="s">
        <v>78</v>
      </c>
      <c r="D20" s="187" t="s">
        <v>4</v>
      </c>
      <c r="E20" s="188">
        <v>1.2186000000000001E-2</v>
      </c>
      <c r="F20" s="29"/>
      <c r="G20" s="29"/>
      <c r="H20" s="29"/>
      <c r="I20" s="29"/>
      <c r="J20" s="29"/>
      <c r="K20" s="29"/>
      <c r="L20" s="29"/>
      <c r="M20" s="29"/>
      <c r="N20" s="29"/>
      <c r="O20" s="29"/>
      <c r="P20" s="29"/>
      <c r="Q20" s="29"/>
      <c r="R20" s="29"/>
      <c r="S20" s="29"/>
      <c r="T20" s="29"/>
      <c r="U20" s="25"/>
      <c r="W20" s="173" t="s">
        <v>107</v>
      </c>
      <c r="X20" s="224">
        <v>2.0698000000000005E-2</v>
      </c>
    </row>
    <row r="21" spans="2:24" ht="15.75" x14ac:dyDescent="0.25">
      <c r="B21" s="64"/>
      <c r="C21" s="180" t="s">
        <v>37</v>
      </c>
      <c r="D21" s="187" t="s">
        <v>114</v>
      </c>
      <c r="E21" s="188">
        <v>1.059E-2</v>
      </c>
      <c r="F21" s="29"/>
      <c r="G21" s="29"/>
      <c r="H21" s="29"/>
      <c r="I21" s="29"/>
      <c r="J21" s="29"/>
      <c r="K21" s="29"/>
      <c r="L21" s="29"/>
      <c r="M21" s="29"/>
      <c r="N21" s="29"/>
      <c r="O21" s="29"/>
      <c r="P21" s="29"/>
      <c r="Q21" s="29"/>
      <c r="R21" s="29"/>
      <c r="S21" s="29"/>
      <c r="T21" s="29"/>
      <c r="U21" s="25"/>
      <c r="W21" s="173" t="s">
        <v>24</v>
      </c>
      <c r="X21" s="224">
        <v>2.042900000000001E-2</v>
      </c>
    </row>
    <row r="22" spans="2:24" ht="30" x14ac:dyDescent="0.25">
      <c r="B22" s="64"/>
      <c r="C22" s="180" t="s">
        <v>242</v>
      </c>
      <c r="D22" s="187" t="s">
        <v>108</v>
      </c>
      <c r="E22" s="188">
        <v>9.188E-3</v>
      </c>
      <c r="F22" s="29"/>
      <c r="G22" s="29"/>
      <c r="H22" s="29"/>
      <c r="I22" s="29"/>
      <c r="J22" s="29"/>
      <c r="K22" s="29"/>
      <c r="L22" s="29"/>
      <c r="M22" s="29"/>
      <c r="N22" s="29"/>
      <c r="O22" s="29"/>
      <c r="P22" s="29"/>
      <c r="Q22" s="29"/>
      <c r="R22" s="29"/>
      <c r="S22" s="29"/>
      <c r="T22" s="29"/>
      <c r="U22" s="25"/>
      <c r="W22" s="173" t="s">
        <v>116</v>
      </c>
      <c r="X22" s="224">
        <v>2.0308E-2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80</v>
      </c>
      <c r="X23" s="224">
        <v>2.0009000000000002E-2</v>
      </c>
    </row>
    <row r="24" spans="2:24" ht="15.75" x14ac:dyDescent="0.25">
      <c r="B24" s="64"/>
      <c r="C24" s="73" t="s">
        <v>55</v>
      </c>
      <c r="D24" s="74"/>
      <c r="E24" s="75">
        <f>SUM(E8:E22)</f>
        <v>0.38348299999999996</v>
      </c>
      <c r="F24" s="29"/>
      <c r="G24" s="29"/>
      <c r="H24" s="29"/>
      <c r="I24" s="29"/>
      <c r="J24" s="29"/>
      <c r="K24" s="29"/>
      <c r="L24" s="29"/>
      <c r="M24" s="29"/>
      <c r="N24" s="29"/>
      <c r="O24" s="29"/>
      <c r="P24" s="29"/>
      <c r="Q24" s="29"/>
      <c r="R24" s="29"/>
      <c r="S24" s="29"/>
      <c r="T24" s="29"/>
      <c r="U24" s="25"/>
      <c r="W24" s="173" t="s">
        <v>82</v>
      </c>
      <c r="X24" s="224">
        <v>1.8367000000000001E-2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83</v>
      </c>
      <c r="X25" s="224">
        <v>1.6952999999999996E-2</v>
      </c>
    </row>
    <row r="26" spans="2:24" x14ac:dyDescent="0.25">
      <c r="B26" s="64"/>
      <c r="C26" s="29"/>
      <c r="D26" s="29"/>
      <c r="E26" s="29"/>
      <c r="F26" s="29"/>
      <c r="G26" s="29"/>
      <c r="H26" s="29"/>
      <c r="I26" s="29"/>
      <c r="J26" s="29"/>
      <c r="K26" s="29"/>
      <c r="L26" s="29"/>
      <c r="M26" s="29"/>
      <c r="N26" s="29"/>
      <c r="O26" s="29"/>
      <c r="P26" s="29"/>
      <c r="Q26" s="29"/>
      <c r="R26" s="29"/>
      <c r="S26" s="29"/>
      <c r="T26" s="29"/>
      <c r="U26" s="25"/>
      <c r="W26" s="173" t="s">
        <v>113</v>
      </c>
      <c r="X26" s="224">
        <v>1.6348999999999999E-2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v>
      </c>
      <c r="X27" s="62">
        <v>1.6021999999999998E-2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84</v>
      </c>
      <c r="X28" s="62">
        <v>1.5189999999999999E-2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74</v>
      </c>
      <c r="X29" s="62">
        <v>1.469E-2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110</v>
      </c>
      <c r="X30" s="62">
        <v>1.3127999999999997E-2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105</v>
      </c>
      <c r="X31" s="62">
        <v>9.5770000000000004E-3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81</v>
      </c>
      <c r="X32" s="62">
        <v>9.4850000000000021E-3</v>
      </c>
    </row>
    <row r="33" spans="2:24" x14ac:dyDescent="0.25">
      <c r="B33" s="64"/>
      <c r="C33" s="29"/>
      <c r="D33" s="29"/>
      <c r="E33" s="29"/>
      <c r="F33" s="29"/>
      <c r="G33" s="29"/>
      <c r="H33" s="29"/>
      <c r="I33" s="29"/>
      <c r="J33" s="29"/>
      <c r="K33" s="29"/>
      <c r="L33" s="29"/>
      <c r="M33" s="29"/>
      <c r="N33" s="29"/>
      <c r="O33" s="29"/>
      <c r="P33" s="29"/>
      <c r="Q33" s="29"/>
      <c r="R33" s="29"/>
      <c r="S33" s="29"/>
      <c r="T33" s="29"/>
      <c r="U33" s="25"/>
      <c r="W33" s="61" t="s">
        <v>112</v>
      </c>
      <c r="X33" s="62">
        <v>8.7540000000000014E-3</v>
      </c>
    </row>
    <row r="34" spans="2:24" x14ac:dyDescent="0.25">
      <c r="B34" s="64"/>
      <c r="C34" s="29"/>
      <c r="D34" s="29"/>
      <c r="E34" s="29"/>
      <c r="F34" s="29"/>
      <c r="G34" s="29"/>
      <c r="H34" s="29"/>
      <c r="I34" s="29"/>
      <c r="J34" s="29"/>
      <c r="K34" s="29"/>
      <c r="L34" s="29"/>
      <c r="M34" s="29"/>
      <c r="N34" s="29"/>
      <c r="O34" s="29"/>
      <c r="P34" s="29"/>
      <c r="Q34" s="29"/>
      <c r="R34" s="29"/>
      <c r="S34" s="29"/>
      <c r="T34" s="29"/>
      <c r="U34" s="25"/>
      <c r="W34" s="61" t="s">
        <v>121</v>
      </c>
      <c r="X34" s="62">
        <v>8.515E-3</v>
      </c>
    </row>
    <row r="35" spans="2:24" x14ac:dyDescent="0.25">
      <c r="B35" s="64"/>
      <c r="C35" s="29"/>
      <c r="D35" s="29"/>
      <c r="E35" s="29"/>
      <c r="F35" s="29"/>
      <c r="G35" s="29"/>
      <c r="H35" s="29"/>
      <c r="I35" s="29"/>
      <c r="J35" s="29"/>
      <c r="K35" s="29"/>
      <c r="L35" s="29"/>
      <c r="M35" s="29"/>
      <c r="N35" s="29"/>
      <c r="O35" s="29"/>
      <c r="P35" s="29"/>
      <c r="Q35" s="29"/>
      <c r="R35" s="29"/>
      <c r="S35" s="29"/>
      <c r="T35" s="29"/>
      <c r="U35" s="25"/>
      <c r="W35" s="61" t="s">
        <v>103</v>
      </c>
      <c r="X35" s="62">
        <v>7.7730000000000004E-3</v>
      </c>
    </row>
    <row r="36" spans="2:24" x14ac:dyDescent="0.25">
      <c r="B36" s="64"/>
      <c r="C36" s="29"/>
      <c r="D36" s="29"/>
      <c r="E36" s="29"/>
      <c r="F36" s="29"/>
      <c r="G36" s="29"/>
      <c r="H36" s="29"/>
      <c r="I36" s="29"/>
      <c r="J36" s="29"/>
      <c r="K36" s="29"/>
      <c r="L36" s="29"/>
      <c r="M36" s="29"/>
      <c r="N36" s="29"/>
      <c r="O36" s="29"/>
      <c r="P36" s="29"/>
      <c r="Q36" s="29"/>
      <c r="R36" s="29"/>
      <c r="S36" s="29"/>
      <c r="T36" s="29"/>
      <c r="U36" s="25"/>
      <c r="W36" s="61" t="s">
        <v>127</v>
      </c>
      <c r="X36" s="62">
        <v>7.5209999999999999E-3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25</v>
      </c>
      <c r="X37" s="62">
        <v>7.3219999999999995E-3</v>
      </c>
    </row>
    <row r="38" spans="2:24" ht="15.75" thickBot="1" x14ac:dyDescent="0.3">
      <c r="W38" s="61" t="s">
        <v>118</v>
      </c>
      <c r="X38" s="62">
        <v>7.293E-3</v>
      </c>
    </row>
    <row r="39" spans="2:24" ht="15" customHeight="1" x14ac:dyDescent="0.25">
      <c r="B39" s="306" t="s">
        <v>177</v>
      </c>
      <c r="C39" s="307"/>
      <c r="D39" s="307"/>
      <c r="E39" s="307"/>
      <c r="F39" s="307"/>
      <c r="G39" s="307"/>
      <c r="H39" s="307"/>
      <c r="I39" s="307"/>
      <c r="J39" s="307"/>
      <c r="K39" s="307"/>
      <c r="L39" s="307"/>
      <c r="M39" s="307"/>
      <c r="N39" s="307"/>
      <c r="O39" s="307"/>
      <c r="P39" s="307"/>
      <c r="Q39" s="307"/>
      <c r="R39" s="308"/>
      <c r="W39" s="61" t="s">
        <v>115</v>
      </c>
      <c r="X39" s="62">
        <v>6.8900000000000003E-3</v>
      </c>
    </row>
    <row r="40" spans="2:24" x14ac:dyDescent="0.25">
      <c r="B40" s="309"/>
      <c r="C40" s="310"/>
      <c r="D40" s="310"/>
      <c r="E40" s="310"/>
      <c r="F40" s="310"/>
      <c r="G40" s="310"/>
      <c r="H40" s="310"/>
      <c r="I40" s="310"/>
      <c r="J40" s="310"/>
      <c r="K40" s="310"/>
      <c r="L40" s="310"/>
      <c r="M40" s="310"/>
      <c r="N40" s="310"/>
      <c r="O40" s="310"/>
      <c r="P40" s="310"/>
      <c r="Q40" s="310"/>
      <c r="R40" s="311"/>
      <c r="W40" s="61" t="s">
        <v>15</v>
      </c>
      <c r="X40" s="62">
        <v>6.7459999999999994E-3</v>
      </c>
    </row>
    <row r="41" spans="2:24" x14ac:dyDescent="0.25">
      <c r="B41" s="309"/>
      <c r="C41" s="310"/>
      <c r="D41" s="310"/>
      <c r="E41" s="310"/>
      <c r="F41" s="310"/>
      <c r="G41" s="310"/>
      <c r="H41" s="310"/>
      <c r="I41" s="310"/>
      <c r="J41" s="310"/>
      <c r="K41" s="310"/>
      <c r="L41" s="310"/>
      <c r="M41" s="310"/>
      <c r="N41" s="310"/>
      <c r="O41" s="310"/>
      <c r="P41" s="310"/>
      <c r="Q41" s="310"/>
      <c r="R41" s="311"/>
      <c r="W41" s="61" t="s">
        <v>134</v>
      </c>
      <c r="X41" s="62">
        <v>6.3359999999999988E-3</v>
      </c>
    </row>
    <row r="42" spans="2:24" x14ac:dyDescent="0.25">
      <c r="B42" s="309"/>
      <c r="C42" s="310"/>
      <c r="D42" s="310"/>
      <c r="E42" s="310"/>
      <c r="F42" s="310"/>
      <c r="G42" s="310"/>
      <c r="H42" s="310"/>
      <c r="I42" s="310"/>
      <c r="J42" s="310"/>
      <c r="K42" s="310"/>
      <c r="L42" s="310"/>
      <c r="M42" s="310"/>
      <c r="N42" s="310"/>
      <c r="O42" s="310"/>
      <c r="P42" s="310"/>
      <c r="Q42" s="310"/>
      <c r="R42" s="311"/>
      <c r="W42" s="61" t="s">
        <v>13</v>
      </c>
      <c r="X42" s="62">
        <v>5.9059999999999998E-3</v>
      </c>
    </row>
    <row r="43" spans="2:24" x14ac:dyDescent="0.25">
      <c r="B43" s="309"/>
      <c r="C43" s="310"/>
      <c r="D43" s="310"/>
      <c r="E43" s="310"/>
      <c r="F43" s="310"/>
      <c r="G43" s="310"/>
      <c r="H43" s="310"/>
      <c r="I43" s="310"/>
      <c r="J43" s="310"/>
      <c r="K43" s="310"/>
      <c r="L43" s="310"/>
      <c r="M43" s="310"/>
      <c r="N43" s="310"/>
      <c r="O43" s="310"/>
      <c r="P43" s="310"/>
      <c r="Q43" s="310"/>
      <c r="R43" s="311"/>
      <c r="W43" s="61" t="s">
        <v>179</v>
      </c>
      <c r="X43" s="62">
        <v>4.6759999999999996E-3</v>
      </c>
    </row>
    <row r="44" spans="2:24" x14ac:dyDescent="0.25">
      <c r="B44" s="309"/>
      <c r="C44" s="310"/>
      <c r="D44" s="310"/>
      <c r="E44" s="310"/>
      <c r="F44" s="310"/>
      <c r="G44" s="310"/>
      <c r="H44" s="310"/>
      <c r="I44" s="310"/>
      <c r="J44" s="310"/>
      <c r="K44" s="310"/>
      <c r="L44" s="310"/>
      <c r="M44" s="310"/>
      <c r="N44" s="310"/>
      <c r="O44" s="310"/>
      <c r="P44" s="310"/>
      <c r="Q44" s="310"/>
      <c r="R44" s="311"/>
      <c r="W44" s="61" t="s">
        <v>128</v>
      </c>
      <c r="X44" s="62">
        <v>4.5840000000000004E-3</v>
      </c>
    </row>
    <row r="45" spans="2:24" ht="15.75" thickBot="1" x14ac:dyDescent="0.3">
      <c r="B45" s="312"/>
      <c r="C45" s="313"/>
      <c r="D45" s="313"/>
      <c r="E45" s="313"/>
      <c r="F45" s="313"/>
      <c r="G45" s="313"/>
      <c r="H45" s="313"/>
      <c r="I45" s="313"/>
      <c r="J45" s="313"/>
      <c r="K45" s="313"/>
      <c r="L45" s="313"/>
      <c r="M45" s="313"/>
      <c r="N45" s="313"/>
      <c r="O45" s="313"/>
      <c r="P45" s="313"/>
      <c r="Q45" s="313"/>
      <c r="R45" s="314"/>
      <c r="W45" s="61" t="s">
        <v>119</v>
      </c>
      <c r="X45" s="62">
        <v>4.3430000000000005E-3</v>
      </c>
    </row>
    <row r="46" spans="2:24" x14ac:dyDescent="0.25">
      <c r="W46" s="61" t="s">
        <v>130</v>
      </c>
      <c r="X46" s="62">
        <v>3.7550000000000001E-3</v>
      </c>
    </row>
    <row r="47" spans="2:24" x14ac:dyDescent="0.25">
      <c r="W47" s="61" t="s">
        <v>129</v>
      </c>
      <c r="X47" s="62">
        <v>3.437E-3</v>
      </c>
    </row>
    <row r="48" spans="2:24" x14ac:dyDescent="0.25">
      <c r="W48" s="61" t="s">
        <v>111</v>
      </c>
      <c r="X48" s="62">
        <v>3.1840000000000002E-3</v>
      </c>
    </row>
    <row r="49" spans="23:24" x14ac:dyDescent="0.25">
      <c r="W49" s="61" t="s">
        <v>124</v>
      </c>
      <c r="X49" s="62">
        <v>2.9450000000000001E-3</v>
      </c>
    </row>
    <row r="50" spans="23:24" x14ac:dyDescent="0.25">
      <c r="W50" s="61" t="s">
        <v>123</v>
      </c>
      <c r="X50" s="62">
        <v>2.8050000000000002E-3</v>
      </c>
    </row>
    <row r="51" spans="23:24" x14ac:dyDescent="0.25">
      <c r="W51" s="61" t="s">
        <v>143</v>
      </c>
      <c r="X51" s="62">
        <v>2.7440000000000003E-3</v>
      </c>
    </row>
    <row r="52" spans="23:24" x14ac:dyDescent="0.25">
      <c r="W52" s="61" t="s">
        <v>92</v>
      </c>
      <c r="X52" s="62">
        <v>2.137E-3</v>
      </c>
    </row>
    <row r="53" spans="23:24" x14ac:dyDescent="0.25">
      <c r="W53" s="61" t="s">
        <v>120</v>
      </c>
      <c r="X53" s="62">
        <v>1.0809999999999999E-3</v>
      </c>
    </row>
    <row r="54" spans="23:24" x14ac:dyDescent="0.25">
      <c r="W54" s="61" t="s">
        <v>122</v>
      </c>
      <c r="X54" s="62">
        <v>7.2100000000000007E-4</v>
      </c>
    </row>
    <row r="55" spans="23:24" x14ac:dyDescent="0.25">
      <c r="W55" s="61" t="s">
        <v>125</v>
      </c>
      <c r="X55" s="62">
        <v>6.9799999999999994E-4</v>
      </c>
    </row>
    <row r="56" spans="23:24" x14ac:dyDescent="0.25">
      <c r="W56" s="61" t="s">
        <v>257</v>
      </c>
      <c r="X56" s="62">
        <v>6.5600000000000001E-4</v>
      </c>
    </row>
    <row r="57" spans="23:24" x14ac:dyDescent="0.25">
      <c r="W57" s="61" t="s">
        <v>317</v>
      </c>
      <c r="X57" s="62">
        <v>6.2600000000000004E-4</v>
      </c>
    </row>
    <row r="58" spans="23:24" x14ac:dyDescent="0.25">
      <c r="W58" s="61" t="s">
        <v>180</v>
      </c>
      <c r="X58" s="62">
        <v>4.6500000000000003E-4</v>
      </c>
    </row>
    <row r="59" spans="23:24" x14ac:dyDescent="0.25">
      <c r="W59" s="61" t="s">
        <v>208</v>
      </c>
      <c r="X59" s="62">
        <v>4.4000000000000002E-4</v>
      </c>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58C3-F00A-40F4-A019-9D4F6A09E004}">
  <sheetPr codeName="Sheet35"/>
  <dimension ref="A1:X63"/>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9.7109375" style="19" bestFit="1" customWidth="1"/>
    <col min="4" max="4" width="10.28515625" style="19" bestFit="1"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267</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421</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29</v>
      </c>
      <c r="D8" s="185" t="s">
        <v>3</v>
      </c>
      <c r="E8" s="186">
        <v>0.27801900000000002</v>
      </c>
      <c r="F8" s="29"/>
      <c r="G8" s="29"/>
      <c r="H8" s="29"/>
      <c r="I8" s="29"/>
      <c r="J8" s="29"/>
      <c r="K8" s="29"/>
      <c r="L8" s="29"/>
      <c r="M8" s="29"/>
      <c r="N8" s="29"/>
      <c r="O8" s="29"/>
      <c r="P8" s="29"/>
      <c r="Q8" s="29"/>
      <c r="R8" s="29"/>
      <c r="S8" s="29"/>
      <c r="T8" s="29"/>
      <c r="U8" s="25"/>
      <c r="W8" s="173" t="s">
        <v>3</v>
      </c>
      <c r="X8" s="224">
        <v>0.99939000000000022</v>
      </c>
    </row>
    <row r="9" spans="1:24" ht="15.75" x14ac:dyDescent="0.25">
      <c r="B9" s="64"/>
      <c r="C9" s="180" t="s">
        <v>32</v>
      </c>
      <c r="D9" s="187" t="s">
        <v>3</v>
      </c>
      <c r="E9" s="188">
        <v>0.25160100000000002</v>
      </c>
      <c r="F9" s="29"/>
      <c r="G9" s="29"/>
      <c r="H9" s="29"/>
      <c r="I9" s="29"/>
      <c r="J9" s="29"/>
      <c r="K9" s="29"/>
      <c r="L9" s="29"/>
      <c r="M9" s="29"/>
      <c r="N9" s="29"/>
      <c r="O9" s="29"/>
      <c r="P9" s="29"/>
      <c r="Q9" s="29"/>
      <c r="R9" s="29"/>
      <c r="S9" s="29"/>
      <c r="T9" s="29"/>
      <c r="U9" s="25"/>
      <c r="W9" s="173"/>
      <c r="X9" s="224"/>
    </row>
    <row r="10" spans="1:24" ht="15.75" x14ac:dyDescent="0.25">
      <c r="B10" s="64"/>
      <c r="C10" s="180" t="s">
        <v>36</v>
      </c>
      <c r="D10" s="187" t="s">
        <v>3</v>
      </c>
      <c r="E10" s="188">
        <v>8.3993999999999999E-2</v>
      </c>
      <c r="F10" s="29"/>
      <c r="G10" s="29"/>
      <c r="H10" s="29"/>
      <c r="I10" s="29"/>
      <c r="J10" s="29"/>
      <c r="K10" s="29"/>
      <c r="L10" s="29"/>
      <c r="M10" s="29"/>
      <c r="N10" s="29"/>
      <c r="O10" s="29"/>
      <c r="P10" s="29"/>
      <c r="Q10" s="29"/>
      <c r="R10" s="29"/>
      <c r="S10" s="29"/>
      <c r="T10" s="29"/>
      <c r="U10" s="25"/>
      <c r="W10" s="173"/>
      <c r="X10" s="224"/>
    </row>
    <row r="11" spans="1:24" ht="15.75" x14ac:dyDescent="0.25">
      <c r="B11" s="64"/>
      <c r="C11" s="180" t="s">
        <v>76</v>
      </c>
      <c r="D11" s="187" t="s">
        <v>3</v>
      </c>
      <c r="E11" s="188">
        <v>8.2829E-2</v>
      </c>
      <c r="F11" s="29"/>
      <c r="G11" s="29"/>
      <c r="H11" s="29"/>
      <c r="I11" s="29"/>
      <c r="J11" s="29"/>
      <c r="K11" s="29"/>
      <c r="L11" s="29"/>
      <c r="M11" s="29"/>
      <c r="N11" s="29"/>
      <c r="O11" s="29"/>
      <c r="P11" s="29"/>
      <c r="Q11" s="29"/>
      <c r="R11" s="29"/>
      <c r="S11" s="29"/>
      <c r="T11" s="29"/>
      <c r="U11" s="25"/>
      <c r="W11" s="173"/>
      <c r="X11" s="224"/>
    </row>
    <row r="12" spans="1:24" ht="15.75" x14ac:dyDescent="0.25">
      <c r="B12" s="64"/>
      <c r="C12" s="180" t="s">
        <v>35</v>
      </c>
      <c r="D12" s="187" t="s">
        <v>3</v>
      </c>
      <c r="E12" s="188">
        <v>7.5338000000000002E-2</v>
      </c>
      <c r="F12" s="29"/>
      <c r="G12" s="29"/>
      <c r="H12" s="29"/>
      <c r="I12" s="29"/>
      <c r="J12" s="29"/>
      <c r="K12" s="29"/>
      <c r="L12" s="29"/>
      <c r="M12" s="29"/>
      <c r="N12" s="29"/>
      <c r="O12" s="29"/>
      <c r="P12" s="29"/>
      <c r="Q12" s="29"/>
      <c r="R12" s="29"/>
      <c r="S12" s="29"/>
      <c r="T12" s="29"/>
      <c r="U12" s="25"/>
      <c r="W12" s="173"/>
      <c r="X12" s="224"/>
    </row>
    <row r="13" spans="1:24" ht="15.75" x14ac:dyDescent="0.25">
      <c r="B13" s="64"/>
      <c r="C13" s="180" t="s">
        <v>132</v>
      </c>
      <c r="D13" s="187" t="s">
        <v>3</v>
      </c>
      <c r="E13" s="188">
        <v>4.0045999999999998E-2</v>
      </c>
      <c r="F13" s="29"/>
      <c r="G13" s="29"/>
      <c r="H13" s="29"/>
      <c r="I13" s="29"/>
      <c r="J13" s="29"/>
      <c r="K13" s="29"/>
      <c r="L13" s="29"/>
      <c r="M13" s="29"/>
      <c r="N13" s="29"/>
      <c r="O13" s="29"/>
      <c r="P13" s="29"/>
      <c r="Q13" s="29"/>
      <c r="R13" s="29"/>
      <c r="S13" s="29"/>
      <c r="T13" s="29"/>
      <c r="U13" s="25"/>
      <c r="W13" s="173"/>
      <c r="X13" s="224"/>
    </row>
    <row r="14" spans="1:24" ht="15.75" x14ac:dyDescent="0.25">
      <c r="B14" s="64"/>
      <c r="C14" s="180" t="s">
        <v>253</v>
      </c>
      <c r="D14" s="187" t="s">
        <v>3</v>
      </c>
      <c r="E14" s="188">
        <v>3.6874999999999998E-2</v>
      </c>
      <c r="F14" s="29"/>
      <c r="G14" s="29"/>
      <c r="H14" s="29"/>
      <c r="I14" s="29"/>
      <c r="J14" s="29"/>
      <c r="K14" s="29"/>
      <c r="L14" s="29"/>
      <c r="M14" s="29"/>
      <c r="N14" s="29"/>
      <c r="O14" s="29"/>
      <c r="P14" s="29"/>
      <c r="Q14" s="29"/>
      <c r="R14" s="29"/>
      <c r="S14" s="29"/>
      <c r="T14" s="29"/>
      <c r="U14" s="25"/>
      <c r="W14" s="173"/>
      <c r="X14" s="224"/>
    </row>
    <row r="15" spans="1:24" ht="15.75" x14ac:dyDescent="0.25">
      <c r="B15" s="64"/>
      <c r="C15" s="180" t="s">
        <v>265</v>
      </c>
      <c r="D15" s="187" t="s">
        <v>3</v>
      </c>
      <c r="E15" s="188">
        <v>3.4401000000000001E-2</v>
      </c>
      <c r="F15" s="29"/>
      <c r="G15" s="29"/>
      <c r="H15" s="29"/>
      <c r="I15" s="29"/>
      <c r="J15" s="29"/>
      <c r="K15" s="29"/>
      <c r="L15" s="29"/>
      <c r="M15" s="29"/>
      <c r="N15" s="29"/>
      <c r="O15" s="29"/>
      <c r="P15" s="29"/>
      <c r="Q15" s="29"/>
      <c r="R15" s="29"/>
      <c r="S15" s="29"/>
      <c r="T15" s="29"/>
      <c r="U15" s="25"/>
      <c r="W15" s="173"/>
      <c r="X15" s="224"/>
    </row>
    <row r="16" spans="1:24" ht="15.75" x14ac:dyDescent="0.25">
      <c r="B16" s="64"/>
      <c r="C16" s="180" t="s">
        <v>266</v>
      </c>
      <c r="D16" s="187" t="s">
        <v>3</v>
      </c>
      <c r="E16" s="188">
        <v>3.1366999999999999E-2</v>
      </c>
      <c r="F16" s="29"/>
      <c r="G16" s="29"/>
      <c r="H16" s="29"/>
      <c r="I16" s="29"/>
      <c r="J16" s="29"/>
      <c r="K16" s="29"/>
      <c r="L16" s="29"/>
      <c r="M16" s="29"/>
      <c r="N16" s="29"/>
      <c r="O16" s="29"/>
      <c r="P16" s="29"/>
      <c r="Q16" s="29"/>
      <c r="R16" s="29"/>
      <c r="S16" s="29"/>
      <c r="T16" s="29"/>
      <c r="U16" s="25"/>
      <c r="W16" s="173"/>
      <c r="X16" s="224"/>
    </row>
    <row r="17" spans="2:24" ht="15.75" x14ac:dyDescent="0.25">
      <c r="B17" s="64"/>
      <c r="C17" s="180" t="s">
        <v>247</v>
      </c>
      <c r="D17" s="187" t="s">
        <v>3</v>
      </c>
      <c r="E17" s="188">
        <v>2.8962000000000002E-2</v>
      </c>
      <c r="F17" s="29"/>
      <c r="G17" s="29"/>
      <c r="H17" s="29"/>
      <c r="I17" s="29"/>
      <c r="J17" s="29"/>
      <c r="K17" s="29"/>
      <c r="L17" s="29"/>
      <c r="M17" s="29"/>
      <c r="N17" s="29"/>
      <c r="O17" s="29"/>
      <c r="P17" s="29"/>
      <c r="Q17" s="29"/>
      <c r="R17" s="29"/>
      <c r="S17" s="29"/>
      <c r="T17" s="29"/>
      <c r="U17" s="25"/>
      <c r="W17" s="173"/>
      <c r="X17" s="224"/>
    </row>
    <row r="18" spans="2:24" ht="15.75" x14ac:dyDescent="0.25">
      <c r="B18" s="64"/>
      <c r="C18" s="180" t="s">
        <v>280</v>
      </c>
      <c r="D18" s="187" t="s">
        <v>3</v>
      </c>
      <c r="E18" s="188">
        <v>2.8799000000000002E-2</v>
      </c>
      <c r="F18" s="29"/>
      <c r="G18" s="29"/>
      <c r="H18" s="29"/>
      <c r="I18" s="29"/>
      <c r="J18" s="29"/>
      <c r="K18" s="29"/>
      <c r="L18" s="29"/>
      <c r="M18" s="29"/>
      <c r="N18" s="29"/>
      <c r="O18" s="29"/>
      <c r="P18" s="29"/>
      <c r="Q18" s="29"/>
      <c r="R18" s="29"/>
      <c r="S18" s="29"/>
      <c r="T18" s="29"/>
      <c r="U18" s="25"/>
      <c r="W18" s="173"/>
      <c r="X18" s="224"/>
    </row>
    <row r="19" spans="2:24" ht="15.75" x14ac:dyDescent="0.25">
      <c r="B19" s="64"/>
      <c r="C19" s="180" t="s">
        <v>259</v>
      </c>
      <c r="D19" s="187" t="s">
        <v>3</v>
      </c>
      <c r="E19" s="188">
        <v>2.7158999999999999E-2</v>
      </c>
      <c r="F19" s="29"/>
      <c r="G19" s="29"/>
      <c r="H19" s="29"/>
      <c r="I19" s="29"/>
      <c r="J19" s="29"/>
      <c r="K19" s="29"/>
      <c r="L19" s="29"/>
      <c r="M19" s="29"/>
      <c r="N19" s="29"/>
      <c r="O19" s="29"/>
      <c r="P19" s="29"/>
      <c r="Q19" s="29"/>
      <c r="R19" s="29"/>
      <c r="S19" s="29"/>
      <c r="T19" s="29"/>
      <c r="U19" s="25"/>
      <c r="W19" s="173"/>
      <c r="X19" s="224"/>
    </row>
    <row r="20" spans="2:24" ht="15.75" x14ac:dyDescent="0.25">
      <c r="B20" s="64"/>
      <c r="C20" s="73" t="s">
        <v>55</v>
      </c>
      <c r="D20" s="74"/>
      <c r="E20" s="75">
        <f>SUM(E8:E19)</f>
        <v>0.99939000000000022</v>
      </c>
      <c r="F20" s="29"/>
      <c r="G20" s="29"/>
      <c r="H20" s="29"/>
      <c r="I20" s="29"/>
      <c r="J20" s="29"/>
      <c r="K20" s="29"/>
      <c r="L20" s="29"/>
      <c r="M20" s="29"/>
      <c r="N20" s="29"/>
      <c r="O20" s="29"/>
      <c r="P20" s="29"/>
      <c r="Q20" s="29"/>
      <c r="R20" s="29"/>
      <c r="S20" s="29"/>
      <c r="T20" s="29"/>
      <c r="U20" s="25"/>
      <c r="W20" s="173"/>
      <c r="X20" s="224"/>
    </row>
    <row r="21" spans="2:24" x14ac:dyDescent="0.25">
      <c r="B21" s="64"/>
      <c r="C21" s="29"/>
      <c r="D21" s="29"/>
      <c r="E21" s="29"/>
      <c r="F21" s="29"/>
      <c r="G21" s="29"/>
      <c r="H21" s="29"/>
      <c r="I21" s="29"/>
      <c r="J21" s="29"/>
      <c r="K21" s="29"/>
      <c r="L21" s="29"/>
      <c r="M21" s="29"/>
      <c r="N21" s="29"/>
      <c r="O21" s="29"/>
      <c r="P21" s="29"/>
      <c r="Q21" s="29"/>
      <c r="R21" s="29"/>
      <c r="S21" s="29"/>
      <c r="T21" s="29"/>
      <c r="U21" s="25"/>
      <c r="W21" s="173"/>
      <c r="X21" s="224"/>
    </row>
    <row r="22" spans="2:24" x14ac:dyDescent="0.25">
      <c r="B22" s="64"/>
      <c r="C22" s="29"/>
      <c r="D22" s="29"/>
      <c r="E22" s="29"/>
      <c r="F22" s="29"/>
      <c r="G22" s="29"/>
      <c r="H22" s="29"/>
      <c r="I22" s="29"/>
      <c r="J22" s="29"/>
      <c r="K22" s="29"/>
      <c r="L22" s="29"/>
      <c r="M22" s="29"/>
      <c r="N22" s="29"/>
      <c r="O22" s="29"/>
      <c r="P22" s="29"/>
      <c r="Q22" s="29"/>
      <c r="R22" s="29"/>
      <c r="S22" s="29"/>
      <c r="T22" s="29"/>
      <c r="U22" s="25"/>
      <c r="W22" s="173"/>
      <c r="X22" s="224"/>
    </row>
    <row r="23" spans="2:24" x14ac:dyDescent="0.25">
      <c r="B23" s="64"/>
      <c r="C23" s="29"/>
      <c r="D23" s="29"/>
      <c r="E23" s="29"/>
      <c r="F23" s="29"/>
      <c r="G23" s="29"/>
      <c r="H23" s="29"/>
      <c r="I23" s="29"/>
      <c r="J23" s="29"/>
      <c r="K23" s="29"/>
      <c r="L23" s="29"/>
      <c r="M23" s="29"/>
      <c r="N23" s="29"/>
      <c r="O23" s="29"/>
      <c r="P23" s="29"/>
      <c r="Q23" s="29"/>
      <c r="R23" s="29"/>
      <c r="S23" s="29"/>
      <c r="T23" s="29"/>
      <c r="U23" s="25"/>
      <c r="W23" s="173"/>
      <c r="X23" s="224"/>
    </row>
    <row r="24" spans="2:24" x14ac:dyDescent="0.25">
      <c r="B24" s="64"/>
      <c r="C24" s="29"/>
      <c r="D24" s="29"/>
      <c r="E24" s="29"/>
      <c r="F24" s="29"/>
      <c r="G24" s="29"/>
      <c r="H24" s="29"/>
      <c r="I24" s="29"/>
      <c r="J24" s="29"/>
      <c r="K24" s="29"/>
      <c r="L24" s="29"/>
      <c r="M24" s="29"/>
      <c r="N24" s="29"/>
      <c r="O24" s="29"/>
      <c r="P24" s="29"/>
      <c r="Q24" s="29"/>
      <c r="R24" s="29"/>
      <c r="S24" s="29"/>
      <c r="T24" s="29"/>
      <c r="U24" s="25"/>
      <c r="W24" s="173"/>
      <c r="X24" s="224"/>
    </row>
    <row r="25" spans="2:24" x14ac:dyDescent="0.25">
      <c r="B25" s="64"/>
      <c r="C25" s="29"/>
      <c r="D25" s="29"/>
      <c r="E25" s="29"/>
      <c r="F25" s="29"/>
      <c r="G25" s="29"/>
      <c r="H25" s="29"/>
      <c r="I25" s="29"/>
      <c r="J25" s="29"/>
      <c r="K25" s="29"/>
      <c r="L25" s="29"/>
      <c r="M25" s="29"/>
      <c r="N25" s="29"/>
      <c r="O25" s="29"/>
      <c r="P25" s="29"/>
      <c r="Q25" s="29"/>
      <c r="R25" s="29"/>
      <c r="S25" s="29"/>
      <c r="T25" s="29"/>
      <c r="U25" s="25"/>
      <c r="W25" s="173"/>
      <c r="X25" s="224"/>
    </row>
    <row r="26" spans="2:24" x14ac:dyDescent="0.25">
      <c r="B26" s="64"/>
      <c r="C26" s="29"/>
      <c r="D26" s="29"/>
      <c r="E26" s="29"/>
      <c r="F26" s="29"/>
      <c r="G26" s="29"/>
      <c r="H26" s="29"/>
      <c r="I26" s="29"/>
      <c r="J26" s="29"/>
      <c r="K26" s="29"/>
      <c r="L26" s="29"/>
      <c r="M26" s="29"/>
      <c r="N26" s="29"/>
      <c r="O26" s="29"/>
      <c r="P26" s="29"/>
      <c r="Q26" s="29"/>
      <c r="R26" s="29"/>
      <c r="S26" s="29"/>
      <c r="T26" s="29"/>
      <c r="U26" s="25"/>
      <c r="W26" s="173"/>
      <c r="X26" s="22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306" t="s">
        <v>177</v>
      </c>
      <c r="C39" s="307"/>
      <c r="D39" s="307"/>
      <c r="E39" s="307"/>
      <c r="F39" s="307"/>
      <c r="G39" s="307"/>
      <c r="H39" s="307"/>
      <c r="I39" s="307"/>
      <c r="J39" s="307"/>
      <c r="K39" s="307"/>
      <c r="L39" s="307"/>
      <c r="M39" s="307"/>
      <c r="N39" s="307"/>
      <c r="O39" s="307"/>
      <c r="P39" s="307"/>
      <c r="Q39" s="307"/>
      <c r="R39" s="308"/>
      <c r="W39" s="61"/>
      <c r="X39" s="62"/>
    </row>
    <row r="40" spans="2:24" x14ac:dyDescent="0.25">
      <c r="B40" s="309"/>
      <c r="C40" s="310"/>
      <c r="D40" s="310"/>
      <c r="E40" s="310"/>
      <c r="F40" s="310"/>
      <c r="G40" s="310"/>
      <c r="H40" s="310"/>
      <c r="I40" s="310"/>
      <c r="J40" s="310"/>
      <c r="K40" s="310"/>
      <c r="L40" s="310"/>
      <c r="M40" s="310"/>
      <c r="N40" s="310"/>
      <c r="O40" s="310"/>
      <c r="P40" s="310"/>
      <c r="Q40" s="310"/>
      <c r="R40" s="311"/>
      <c r="W40" s="61"/>
      <c r="X40" s="62"/>
    </row>
    <row r="41" spans="2:24" x14ac:dyDescent="0.25">
      <c r="B41" s="309"/>
      <c r="C41" s="310"/>
      <c r="D41" s="310"/>
      <c r="E41" s="310"/>
      <c r="F41" s="310"/>
      <c r="G41" s="310"/>
      <c r="H41" s="310"/>
      <c r="I41" s="310"/>
      <c r="J41" s="310"/>
      <c r="K41" s="310"/>
      <c r="L41" s="310"/>
      <c r="M41" s="310"/>
      <c r="N41" s="310"/>
      <c r="O41" s="310"/>
      <c r="P41" s="310"/>
      <c r="Q41" s="310"/>
      <c r="R41" s="311"/>
      <c r="W41" s="61"/>
      <c r="X41" s="62"/>
    </row>
    <row r="42" spans="2:24" x14ac:dyDescent="0.25">
      <c r="B42" s="309"/>
      <c r="C42" s="310"/>
      <c r="D42" s="310"/>
      <c r="E42" s="310"/>
      <c r="F42" s="310"/>
      <c r="G42" s="310"/>
      <c r="H42" s="310"/>
      <c r="I42" s="310"/>
      <c r="J42" s="310"/>
      <c r="K42" s="310"/>
      <c r="L42" s="310"/>
      <c r="M42" s="310"/>
      <c r="N42" s="310"/>
      <c r="O42" s="310"/>
      <c r="P42" s="310"/>
      <c r="Q42" s="310"/>
      <c r="R42" s="311"/>
      <c r="W42" s="61"/>
      <c r="X42" s="62"/>
    </row>
    <row r="43" spans="2:24" x14ac:dyDescent="0.25">
      <c r="B43" s="309"/>
      <c r="C43" s="310"/>
      <c r="D43" s="310"/>
      <c r="E43" s="310"/>
      <c r="F43" s="310"/>
      <c r="G43" s="310"/>
      <c r="H43" s="310"/>
      <c r="I43" s="310"/>
      <c r="J43" s="310"/>
      <c r="K43" s="310"/>
      <c r="L43" s="310"/>
      <c r="M43" s="310"/>
      <c r="N43" s="310"/>
      <c r="O43" s="310"/>
      <c r="P43" s="310"/>
      <c r="Q43" s="310"/>
      <c r="R43" s="311"/>
      <c r="W43" s="61"/>
      <c r="X43" s="62"/>
    </row>
    <row r="44" spans="2:24" x14ac:dyDescent="0.25">
      <c r="B44" s="309"/>
      <c r="C44" s="310"/>
      <c r="D44" s="310"/>
      <c r="E44" s="310"/>
      <c r="F44" s="310"/>
      <c r="G44" s="310"/>
      <c r="H44" s="310"/>
      <c r="I44" s="310"/>
      <c r="J44" s="310"/>
      <c r="K44" s="310"/>
      <c r="L44" s="310"/>
      <c r="M44" s="310"/>
      <c r="N44" s="310"/>
      <c r="O44" s="310"/>
      <c r="P44" s="310"/>
      <c r="Q44" s="310"/>
      <c r="R44" s="311"/>
      <c r="W44" s="61"/>
      <c r="X44" s="62"/>
    </row>
    <row r="45" spans="2:24" ht="15.75" thickBot="1" x14ac:dyDescent="0.3">
      <c r="B45" s="312"/>
      <c r="C45" s="313"/>
      <c r="D45" s="313"/>
      <c r="E45" s="313"/>
      <c r="F45" s="313"/>
      <c r="G45" s="313"/>
      <c r="H45" s="313"/>
      <c r="I45" s="313"/>
      <c r="J45" s="313"/>
      <c r="K45" s="313"/>
      <c r="L45" s="313"/>
      <c r="M45" s="313"/>
      <c r="N45" s="313"/>
      <c r="O45" s="313"/>
      <c r="P45" s="313"/>
      <c r="Q45" s="313"/>
      <c r="R45" s="314"/>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083D-7AC6-411B-A750-3BADA1FFB414}">
  <sheetPr codeName="Sheet36"/>
  <dimension ref="A1:X63"/>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6.7109375" style="19" bestFit="1" customWidth="1"/>
    <col min="4" max="4" width="37.140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281</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422</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242</v>
      </c>
      <c r="D8" s="294" t="s">
        <v>108</v>
      </c>
      <c r="E8" s="186">
        <v>0.14228199999999999</v>
      </c>
      <c r="F8" s="29"/>
      <c r="G8" s="29"/>
      <c r="H8" s="29"/>
      <c r="I8" s="29"/>
      <c r="J8" s="29"/>
      <c r="K8" s="29"/>
      <c r="L8" s="29"/>
      <c r="M8" s="29"/>
      <c r="N8" s="29"/>
      <c r="O8" s="29"/>
      <c r="P8" s="29"/>
      <c r="Q8" s="29"/>
      <c r="R8" s="29"/>
      <c r="S8" s="29"/>
      <c r="T8" s="29"/>
      <c r="U8" s="25"/>
      <c r="W8" s="173" t="s">
        <v>108</v>
      </c>
      <c r="X8" s="224">
        <v>0.75404599999999977</v>
      </c>
    </row>
    <row r="9" spans="1:24" ht="15.75" x14ac:dyDescent="0.25">
      <c r="B9" s="64"/>
      <c r="C9" s="180" t="s">
        <v>283</v>
      </c>
      <c r="D9" s="295" t="s">
        <v>108</v>
      </c>
      <c r="E9" s="188">
        <v>6.6177E-2</v>
      </c>
      <c r="F9" s="29"/>
      <c r="G9" s="29"/>
      <c r="H9" s="29"/>
      <c r="I9" s="29"/>
      <c r="J9" s="29"/>
      <c r="K9" s="29"/>
      <c r="L9" s="29"/>
      <c r="M9" s="29"/>
      <c r="N9" s="29"/>
      <c r="O9" s="29"/>
      <c r="P9" s="29"/>
      <c r="Q9" s="29"/>
      <c r="R9" s="29"/>
      <c r="S9" s="29"/>
      <c r="T9" s="29"/>
      <c r="U9" s="25"/>
      <c r="W9" s="173" t="s">
        <v>74</v>
      </c>
      <c r="X9" s="224">
        <v>0.23969800000000002</v>
      </c>
    </row>
    <row r="10" spans="1:24" ht="15.75" x14ac:dyDescent="0.25">
      <c r="B10" s="64"/>
      <c r="C10" s="180" t="s">
        <v>282</v>
      </c>
      <c r="D10" s="295" t="s">
        <v>74</v>
      </c>
      <c r="E10" s="188">
        <v>6.5264000000000003E-2</v>
      </c>
      <c r="F10" s="29"/>
      <c r="G10" s="29"/>
      <c r="H10" s="29"/>
      <c r="I10" s="29"/>
      <c r="J10" s="29"/>
      <c r="K10" s="29"/>
      <c r="L10" s="29"/>
      <c r="M10" s="29"/>
      <c r="N10" s="29"/>
      <c r="O10" s="29"/>
      <c r="P10" s="29"/>
      <c r="Q10" s="29"/>
      <c r="R10" s="29"/>
      <c r="S10" s="29"/>
      <c r="T10" s="29"/>
      <c r="U10" s="25"/>
      <c r="W10" s="173" t="s">
        <v>208</v>
      </c>
      <c r="X10" s="224">
        <v>7.28E-3</v>
      </c>
    </row>
    <row r="11" spans="1:24" ht="15.75" x14ac:dyDescent="0.25">
      <c r="B11" s="64"/>
      <c r="C11" s="180" t="s">
        <v>101</v>
      </c>
      <c r="D11" s="295" t="s">
        <v>108</v>
      </c>
      <c r="E11" s="188">
        <v>6.5027000000000001E-2</v>
      </c>
      <c r="F11" s="29"/>
      <c r="G11" s="29"/>
      <c r="H11" s="29"/>
      <c r="I11" s="29"/>
      <c r="J11" s="29"/>
      <c r="K11" s="29"/>
      <c r="L11" s="29"/>
      <c r="M11" s="29"/>
      <c r="N11" s="29"/>
      <c r="O11" s="29"/>
      <c r="P11" s="29"/>
      <c r="Q11" s="29"/>
      <c r="R11" s="29"/>
      <c r="S11" s="29"/>
      <c r="T11" s="29"/>
      <c r="U11" s="25"/>
      <c r="W11" s="173"/>
      <c r="X11" s="224"/>
    </row>
    <row r="12" spans="1:24" ht="15.75" x14ac:dyDescent="0.25">
      <c r="B12" s="64"/>
      <c r="C12" s="180" t="s">
        <v>139</v>
      </c>
      <c r="D12" s="295" t="s">
        <v>108</v>
      </c>
      <c r="E12" s="188">
        <v>5.9865000000000002E-2</v>
      </c>
      <c r="F12" s="29"/>
      <c r="G12" s="29"/>
      <c r="H12" s="29"/>
      <c r="I12" s="29"/>
      <c r="J12" s="29"/>
      <c r="K12" s="29"/>
      <c r="L12" s="29"/>
      <c r="M12" s="29"/>
      <c r="N12" s="29"/>
      <c r="O12" s="29"/>
      <c r="P12" s="29"/>
      <c r="Q12" s="29"/>
      <c r="R12" s="29"/>
      <c r="S12" s="29"/>
      <c r="T12" s="29"/>
      <c r="U12" s="25"/>
      <c r="W12" s="173"/>
      <c r="X12" s="224"/>
    </row>
    <row r="13" spans="1:24" ht="15.75" x14ac:dyDescent="0.25">
      <c r="B13" s="64"/>
      <c r="C13" s="180" t="s">
        <v>277</v>
      </c>
      <c r="D13" s="295" t="s">
        <v>74</v>
      </c>
      <c r="E13" s="188">
        <v>5.4344999999999997E-2</v>
      </c>
      <c r="F13" s="29"/>
      <c r="G13" s="29"/>
      <c r="H13" s="29"/>
      <c r="I13" s="29"/>
      <c r="J13" s="29"/>
      <c r="K13" s="29"/>
      <c r="L13" s="29"/>
      <c r="M13" s="29"/>
      <c r="N13" s="29"/>
      <c r="O13" s="29"/>
      <c r="P13" s="29"/>
      <c r="Q13" s="29"/>
      <c r="R13" s="29"/>
      <c r="S13" s="29"/>
      <c r="T13" s="29"/>
      <c r="U13" s="25"/>
      <c r="W13" s="173"/>
      <c r="X13" s="224"/>
    </row>
    <row r="14" spans="1:24" ht="15.75" x14ac:dyDescent="0.25">
      <c r="B14" s="64"/>
      <c r="C14" s="180" t="s">
        <v>284</v>
      </c>
      <c r="D14" s="295" t="s">
        <v>108</v>
      </c>
      <c r="E14" s="188">
        <v>3.7197000000000001E-2</v>
      </c>
      <c r="F14" s="29"/>
      <c r="G14" s="29"/>
      <c r="H14" s="29"/>
      <c r="I14" s="29"/>
      <c r="J14" s="29"/>
      <c r="K14" s="29"/>
      <c r="L14" s="29"/>
      <c r="M14" s="29"/>
      <c r="N14" s="29"/>
      <c r="O14" s="29"/>
      <c r="P14" s="29"/>
      <c r="Q14" s="29"/>
      <c r="R14" s="29"/>
      <c r="S14" s="29"/>
      <c r="T14" s="29"/>
      <c r="U14" s="25"/>
      <c r="W14" s="173"/>
      <c r="X14" s="224"/>
    </row>
    <row r="15" spans="1:24" ht="15.75" x14ac:dyDescent="0.25">
      <c r="B15" s="64"/>
      <c r="C15" s="180" t="s">
        <v>285</v>
      </c>
      <c r="D15" s="295" t="s">
        <v>74</v>
      </c>
      <c r="E15" s="188">
        <v>2.8906000000000001E-2</v>
      </c>
      <c r="F15" s="29"/>
      <c r="G15" s="29"/>
      <c r="H15" s="29"/>
      <c r="I15" s="29"/>
      <c r="J15" s="29"/>
      <c r="K15" s="29"/>
      <c r="L15" s="29"/>
      <c r="M15" s="29"/>
      <c r="N15" s="29"/>
      <c r="O15" s="29"/>
      <c r="P15" s="29"/>
      <c r="Q15" s="29"/>
      <c r="R15" s="29"/>
      <c r="S15" s="29"/>
      <c r="T15" s="29"/>
      <c r="U15" s="25"/>
      <c r="W15" s="173"/>
      <c r="X15" s="224"/>
    </row>
    <row r="16" spans="1:24" ht="15.75" x14ac:dyDescent="0.25">
      <c r="B16" s="64"/>
      <c r="C16" s="180" t="s">
        <v>260</v>
      </c>
      <c r="D16" s="295" t="s">
        <v>108</v>
      </c>
      <c r="E16" s="188">
        <v>2.6143E-2</v>
      </c>
      <c r="F16" s="29"/>
      <c r="G16" s="29"/>
      <c r="H16" s="29"/>
      <c r="I16" s="29"/>
      <c r="J16" s="29"/>
      <c r="K16" s="29"/>
      <c r="L16" s="29"/>
      <c r="M16" s="29"/>
      <c r="N16" s="29"/>
      <c r="O16" s="29"/>
      <c r="P16" s="29"/>
      <c r="Q16" s="29"/>
      <c r="R16" s="29"/>
      <c r="S16" s="29"/>
      <c r="T16" s="29"/>
      <c r="U16" s="25"/>
      <c r="W16" s="173"/>
      <c r="X16" s="224"/>
    </row>
    <row r="17" spans="2:24" ht="15.75" x14ac:dyDescent="0.25">
      <c r="B17" s="64"/>
      <c r="C17" s="180" t="s">
        <v>262</v>
      </c>
      <c r="D17" s="295" t="s">
        <v>108</v>
      </c>
      <c r="E17" s="188">
        <v>2.5121999999999998E-2</v>
      </c>
      <c r="F17" s="29"/>
      <c r="G17" s="29"/>
      <c r="H17" s="29"/>
      <c r="I17" s="29"/>
      <c r="J17" s="29"/>
      <c r="K17" s="29"/>
      <c r="L17" s="29"/>
      <c r="M17" s="29"/>
      <c r="N17" s="29"/>
      <c r="O17" s="29"/>
      <c r="P17" s="29"/>
      <c r="Q17" s="29"/>
      <c r="R17" s="29"/>
      <c r="S17" s="29"/>
      <c r="T17" s="29"/>
      <c r="U17" s="25"/>
      <c r="W17" s="173"/>
      <c r="X17" s="224"/>
    </row>
    <row r="18" spans="2:24" ht="15.75" x14ac:dyDescent="0.25">
      <c r="B18" s="64"/>
      <c r="C18" s="180" t="s">
        <v>202</v>
      </c>
      <c r="D18" s="295" t="s">
        <v>108</v>
      </c>
      <c r="E18" s="188">
        <v>2.1627E-2</v>
      </c>
      <c r="F18" s="29"/>
      <c r="G18" s="29"/>
      <c r="H18" s="29"/>
      <c r="I18" s="29"/>
      <c r="J18" s="29"/>
      <c r="K18" s="29"/>
      <c r="L18" s="29"/>
      <c r="M18" s="29"/>
      <c r="N18" s="29"/>
      <c r="O18" s="29"/>
      <c r="P18" s="29"/>
      <c r="Q18" s="29"/>
      <c r="R18" s="29"/>
      <c r="S18" s="29"/>
      <c r="T18" s="29"/>
      <c r="U18" s="25"/>
      <c r="W18" s="173"/>
      <c r="X18" s="224"/>
    </row>
    <row r="19" spans="2:24" ht="15.75" x14ac:dyDescent="0.25">
      <c r="B19" s="64"/>
      <c r="C19" s="180" t="s">
        <v>246</v>
      </c>
      <c r="D19" s="295" t="s">
        <v>108</v>
      </c>
      <c r="E19" s="188">
        <v>2.1028000000000002E-2</v>
      </c>
      <c r="F19" s="29"/>
      <c r="G19" s="29"/>
      <c r="H19" s="29"/>
      <c r="I19" s="29"/>
      <c r="J19" s="29"/>
      <c r="K19" s="29"/>
      <c r="L19" s="29"/>
      <c r="M19" s="29"/>
      <c r="N19" s="29"/>
      <c r="O19" s="29"/>
      <c r="P19" s="29"/>
      <c r="Q19" s="29"/>
      <c r="R19" s="29"/>
      <c r="S19" s="29"/>
      <c r="T19" s="29"/>
      <c r="U19" s="25"/>
      <c r="W19" s="173"/>
      <c r="X19" s="224"/>
    </row>
    <row r="20" spans="2:24" ht="15.75" x14ac:dyDescent="0.25">
      <c r="B20" s="64"/>
      <c r="C20" s="180" t="s">
        <v>299</v>
      </c>
      <c r="D20" s="295" t="s">
        <v>108</v>
      </c>
      <c r="E20" s="188">
        <v>1.857E-2</v>
      </c>
      <c r="F20" s="29"/>
      <c r="G20" s="29"/>
      <c r="H20" s="29"/>
      <c r="I20" s="29"/>
      <c r="J20" s="29"/>
      <c r="K20" s="29"/>
      <c r="L20" s="29"/>
      <c r="M20" s="29"/>
      <c r="N20" s="29"/>
      <c r="O20" s="29"/>
      <c r="P20" s="29"/>
      <c r="Q20" s="29"/>
      <c r="R20" s="29"/>
      <c r="S20" s="29"/>
      <c r="T20" s="29"/>
      <c r="U20" s="25"/>
      <c r="W20" s="173"/>
      <c r="X20" s="224"/>
    </row>
    <row r="21" spans="2:24" ht="15.75" x14ac:dyDescent="0.25">
      <c r="B21" s="64"/>
      <c r="C21" s="180" t="s">
        <v>286</v>
      </c>
      <c r="D21" s="295" t="s">
        <v>108</v>
      </c>
      <c r="E21" s="188">
        <v>1.8367000000000001E-2</v>
      </c>
      <c r="F21" s="29"/>
      <c r="G21" s="29"/>
      <c r="H21" s="29"/>
      <c r="I21" s="29"/>
      <c r="J21" s="29"/>
      <c r="K21" s="29"/>
      <c r="L21" s="29"/>
      <c r="M21" s="29"/>
      <c r="N21" s="29"/>
      <c r="O21" s="29"/>
      <c r="P21" s="29"/>
      <c r="Q21" s="29"/>
      <c r="R21" s="29"/>
      <c r="S21" s="29"/>
      <c r="T21" s="29"/>
      <c r="U21" s="25"/>
      <c r="W21" s="173"/>
      <c r="X21" s="224"/>
    </row>
    <row r="22" spans="2:24" ht="15.75" x14ac:dyDescent="0.25">
      <c r="B22" s="64"/>
      <c r="C22" s="180" t="s">
        <v>230</v>
      </c>
      <c r="D22" s="295" t="s">
        <v>108</v>
      </c>
      <c r="E22" s="297">
        <v>1.7115999999999999E-2</v>
      </c>
      <c r="F22" s="29"/>
      <c r="G22" s="29"/>
      <c r="H22" s="29"/>
      <c r="I22" s="29"/>
      <c r="J22" s="29"/>
      <c r="K22" s="29"/>
      <c r="L22" s="29"/>
      <c r="M22" s="29"/>
      <c r="N22" s="29"/>
      <c r="O22" s="29"/>
      <c r="P22" s="29"/>
      <c r="Q22" s="29"/>
      <c r="R22" s="29"/>
      <c r="S22" s="29"/>
      <c r="T22" s="29"/>
      <c r="U22" s="25"/>
      <c r="W22" s="173"/>
      <c r="X22" s="224"/>
    </row>
    <row r="23" spans="2:24" x14ac:dyDescent="0.25">
      <c r="B23" s="64"/>
      <c r="C23" s="71"/>
      <c r="D23" s="71"/>
      <c r="E23" s="72"/>
      <c r="F23" s="29"/>
      <c r="G23" s="29"/>
      <c r="H23" s="29"/>
      <c r="I23" s="29"/>
      <c r="J23" s="29"/>
      <c r="K23" s="29"/>
      <c r="L23" s="29"/>
      <c r="M23" s="29"/>
      <c r="N23" s="29"/>
      <c r="O23" s="29"/>
      <c r="P23" s="29"/>
      <c r="Q23" s="29"/>
      <c r="R23" s="29"/>
      <c r="S23" s="29"/>
      <c r="T23" s="29"/>
      <c r="U23" s="25"/>
      <c r="W23" s="173"/>
      <c r="X23" s="224"/>
    </row>
    <row r="24" spans="2:24" ht="15.75" x14ac:dyDescent="0.25">
      <c r="B24" s="64"/>
      <c r="C24" s="73" t="s">
        <v>55</v>
      </c>
      <c r="D24" s="74"/>
      <c r="E24" s="75">
        <f>SUM(E8:E22)</f>
        <v>0.66703599999999996</v>
      </c>
      <c r="F24" s="29"/>
      <c r="G24" s="29"/>
      <c r="H24" s="29"/>
      <c r="I24" s="29"/>
      <c r="J24" s="29"/>
      <c r="K24" s="29"/>
      <c r="L24" s="29"/>
      <c r="M24" s="29"/>
      <c r="N24" s="29"/>
      <c r="O24" s="29"/>
      <c r="P24" s="29"/>
      <c r="Q24" s="29"/>
      <c r="R24" s="29"/>
      <c r="S24" s="29"/>
      <c r="T24" s="29"/>
      <c r="U24" s="25"/>
      <c r="W24" s="173"/>
      <c r="X24" s="224"/>
    </row>
    <row r="25" spans="2:24" x14ac:dyDescent="0.25">
      <c r="B25" s="64"/>
      <c r="C25" s="29"/>
      <c r="D25" s="29"/>
      <c r="E25" s="29"/>
      <c r="F25" s="29"/>
      <c r="G25" s="29"/>
      <c r="H25" s="29"/>
      <c r="I25" s="29"/>
      <c r="J25" s="29"/>
      <c r="K25" s="29"/>
      <c r="L25" s="29"/>
      <c r="M25" s="29"/>
      <c r="N25" s="29"/>
      <c r="O25" s="29"/>
      <c r="P25" s="29"/>
      <c r="Q25" s="29"/>
      <c r="R25" s="29"/>
      <c r="S25" s="29"/>
      <c r="T25" s="29"/>
      <c r="U25" s="25"/>
      <c r="W25" s="173"/>
      <c r="X25" s="224"/>
    </row>
    <row r="26" spans="2:24" x14ac:dyDescent="0.25">
      <c r="B26" s="64"/>
      <c r="C26" s="29"/>
      <c r="D26" s="29"/>
      <c r="E26" s="29"/>
      <c r="F26" s="29"/>
      <c r="G26" s="29"/>
      <c r="H26" s="29"/>
      <c r="I26" s="29"/>
      <c r="J26" s="29"/>
      <c r="K26" s="29"/>
      <c r="L26" s="29"/>
      <c r="M26" s="29"/>
      <c r="N26" s="29"/>
      <c r="O26" s="29"/>
      <c r="P26" s="29"/>
      <c r="Q26" s="29"/>
      <c r="R26" s="29"/>
      <c r="S26" s="29"/>
      <c r="T26" s="29"/>
      <c r="U26" s="25"/>
      <c r="W26" s="173"/>
      <c r="X26" s="22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306" t="s">
        <v>177</v>
      </c>
      <c r="C39" s="307"/>
      <c r="D39" s="307"/>
      <c r="E39" s="307"/>
      <c r="F39" s="307"/>
      <c r="G39" s="307"/>
      <c r="H39" s="307"/>
      <c r="I39" s="307"/>
      <c r="J39" s="307"/>
      <c r="K39" s="307"/>
      <c r="L39" s="307"/>
      <c r="M39" s="307"/>
      <c r="N39" s="307"/>
      <c r="O39" s="307"/>
      <c r="P39" s="307"/>
      <c r="Q39" s="307"/>
      <c r="R39" s="308"/>
      <c r="W39" s="61"/>
      <c r="X39" s="62"/>
    </row>
    <row r="40" spans="2:24" x14ac:dyDescent="0.25">
      <c r="B40" s="309"/>
      <c r="C40" s="310"/>
      <c r="D40" s="310"/>
      <c r="E40" s="310"/>
      <c r="F40" s="310"/>
      <c r="G40" s="310"/>
      <c r="H40" s="310"/>
      <c r="I40" s="310"/>
      <c r="J40" s="310"/>
      <c r="K40" s="310"/>
      <c r="L40" s="310"/>
      <c r="M40" s="310"/>
      <c r="N40" s="310"/>
      <c r="O40" s="310"/>
      <c r="P40" s="310"/>
      <c r="Q40" s="310"/>
      <c r="R40" s="311"/>
      <c r="W40" s="61"/>
      <c r="X40" s="62"/>
    </row>
    <row r="41" spans="2:24" x14ac:dyDescent="0.25">
      <c r="B41" s="309"/>
      <c r="C41" s="310"/>
      <c r="D41" s="310"/>
      <c r="E41" s="310"/>
      <c r="F41" s="310"/>
      <c r="G41" s="310"/>
      <c r="H41" s="310"/>
      <c r="I41" s="310"/>
      <c r="J41" s="310"/>
      <c r="K41" s="310"/>
      <c r="L41" s="310"/>
      <c r="M41" s="310"/>
      <c r="N41" s="310"/>
      <c r="O41" s="310"/>
      <c r="P41" s="310"/>
      <c r="Q41" s="310"/>
      <c r="R41" s="311"/>
      <c r="W41" s="61"/>
      <c r="X41" s="62"/>
    </row>
    <row r="42" spans="2:24" x14ac:dyDescent="0.25">
      <c r="B42" s="309"/>
      <c r="C42" s="310"/>
      <c r="D42" s="310"/>
      <c r="E42" s="310"/>
      <c r="F42" s="310"/>
      <c r="G42" s="310"/>
      <c r="H42" s="310"/>
      <c r="I42" s="310"/>
      <c r="J42" s="310"/>
      <c r="K42" s="310"/>
      <c r="L42" s="310"/>
      <c r="M42" s="310"/>
      <c r="N42" s="310"/>
      <c r="O42" s="310"/>
      <c r="P42" s="310"/>
      <c r="Q42" s="310"/>
      <c r="R42" s="311"/>
      <c r="W42" s="61"/>
      <c r="X42" s="62"/>
    </row>
    <row r="43" spans="2:24" x14ac:dyDescent="0.25">
      <c r="B43" s="309"/>
      <c r="C43" s="310"/>
      <c r="D43" s="310"/>
      <c r="E43" s="310"/>
      <c r="F43" s="310"/>
      <c r="G43" s="310"/>
      <c r="H43" s="310"/>
      <c r="I43" s="310"/>
      <c r="J43" s="310"/>
      <c r="K43" s="310"/>
      <c r="L43" s="310"/>
      <c r="M43" s="310"/>
      <c r="N43" s="310"/>
      <c r="O43" s="310"/>
      <c r="P43" s="310"/>
      <c r="Q43" s="310"/>
      <c r="R43" s="311"/>
      <c r="W43" s="61"/>
      <c r="X43" s="62"/>
    </row>
    <row r="44" spans="2:24" x14ac:dyDescent="0.25">
      <c r="B44" s="309"/>
      <c r="C44" s="310"/>
      <c r="D44" s="310"/>
      <c r="E44" s="310"/>
      <c r="F44" s="310"/>
      <c r="G44" s="310"/>
      <c r="H44" s="310"/>
      <c r="I44" s="310"/>
      <c r="J44" s="310"/>
      <c r="K44" s="310"/>
      <c r="L44" s="310"/>
      <c r="M44" s="310"/>
      <c r="N44" s="310"/>
      <c r="O44" s="310"/>
      <c r="P44" s="310"/>
      <c r="Q44" s="310"/>
      <c r="R44" s="311"/>
      <c r="W44" s="61"/>
      <c r="X44" s="62"/>
    </row>
    <row r="45" spans="2:24" ht="15.75" thickBot="1" x14ac:dyDescent="0.3">
      <c r="B45" s="312"/>
      <c r="C45" s="313"/>
      <c r="D45" s="313"/>
      <c r="E45" s="313"/>
      <c r="F45" s="313"/>
      <c r="G45" s="313"/>
      <c r="H45" s="313"/>
      <c r="I45" s="313"/>
      <c r="J45" s="313"/>
      <c r="K45" s="313"/>
      <c r="L45" s="313"/>
      <c r="M45" s="313"/>
      <c r="N45" s="313"/>
      <c r="O45" s="313"/>
      <c r="P45" s="313"/>
      <c r="Q45" s="313"/>
      <c r="R45" s="314"/>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DD12-A1E7-4FEE-9AE6-6086814FAD90}">
  <sheetPr codeName="Sheet37"/>
  <dimension ref="A1:X63"/>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287</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423</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232</v>
      </c>
      <c r="D8" s="185" t="s">
        <v>82</v>
      </c>
      <c r="E8" s="186">
        <v>3.1217999999999999E-2</v>
      </c>
      <c r="F8" s="29"/>
      <c r="G8" s="29"/>
      <c r="H8" s="29"/>
      <c r="I8" s="29"/>
      <c r="J8" s="29"/>
      <c r="K8" s="29"/>
      <c r="L8" s="29"/>
      <c r="M8" s="29"/>
      <c r="N8" s="29"/>
      <c r="O8" s="29"/>
      <c r="P8" s="29"/>
      <c r="Q8" s="29"/>
      <c r="R8" s="29"/>
      <c r="S8" s="29"/>
      <c r="T8" s="29"/>
      <c r="U8" s="25"/>
      <c r="W8" s="173" t="s">
        <v>3</v>
      </c>
      <c r="X8" s="224">
        <v>7.4151999999999996E-2</v>
      </c>
    </row>
    <row r="9" spans="1:24" ht="15.75" x14ac:dyDescent="0.25">
      <c r="B9" s="64"/>
      <c r="C9" s="180" t="s">
        <v>233</v>
      </c>
      <c r="D9" s="187" t="s">
        <v>116</v>
      </c>
      <c r="E9" s="188">
        <v>2.4320999999999999E-2</v>
      </c>
      <c r="F9" s="29"/>
      <c r="G9" s="29"/>
      <c r="H9" s="29"/>
      <c r="I9" s="29"/>
      <c r="J9" s="29"/>
      <c r="K9" s="29"/>
      <c r="L9" s="29"/>
      <c r="M9" s="29"/>
      <c r="N9" s="29"/>
      <c r="O9" s="29"/>
      <c r="P9" s="29"/>
      <c r="Q9" s="29"/>
      <c r="R9" s="29"/>
      <c r="S9" s="29"/>
      <c r="T9" s="29"/>
      <c r="U9" s="25"/>
      <c r="W9" s="173" t="s">
        <v>108</v>
      </c>
      <c r="X9" s="224">
        <v>6.9884000000000016E-2</v>
      </c>
    </row>
    <row r="10" spans="1:24" ht="15.75" x14ac:dyDescent="0.25">
      <c r="B10" s="64"/>
      <c r="C10" s="180" t="s">
        <v>282</v>
      </c>
      <c r="D10" s="187" t="s">
        <v>74</v>
      </c>
      <c r="E10" s="188">
        <v>2.3970999999999999E-2</v>
      </c>
      <c r="F10" s="29"/>
      <c r="G10" s="29"/>
      <c r="H10" s="29"/>
      <c r="I10" s="29"/>
      <c r="J10" s="29"/>
      <c r="K10" s="29"/>
      <c r="L10" s="29"/>
      <c r="M10" s="29"/>
      <c r="N10" s="29"/>
      <c r="O10" s="29"/>
      <c r="P10" s="29"/>
      <c r="Q10" s="29"/>
      <c r="R10" s="29"/>
      <c r="S10" s="29"/>
      <c r="T10" s="29"/>
      <c r="U10" s="25"/>
      <c r="W10" s="173" t="s">
        <v>107</v>
      </c>
      <c r="X10" s="224">
        <v>6.4579999999999999E-2</v>
      </c>
    </row>
    <row r="11" spans="1:24" ht="15.75" x14ac:dyDescent="0.25">
      <c r="B11" s="64"/>
      <c r="C11" s="180" t="s">
        <v>181</v>
      </c>
      <c r="D11" s="187" t="s">
        <v>104</v>
      </c>
      <c r="E11" s="188">
        <v>1.72E-2</v>
      </c>
      <c r="F11" s="29"/>
      <c r="G11" s="29"/>
      <c r="H11" s="29"/>
      <c r="I11" s="29"/>
      <c r="J11" s="29"/>
      <c r="K11" s="29"/>
      <c r="L11" s="29"/>
      <c r="M11" s="29"/>
      <c r="N11" s="29"/>
      <c r="O11" s="29"/>
      <c r="P11" s="29"/>
      <c r="Q11" s="29"/>
      <c r="R11" s="29"/>
      <c r="S11" s="29"/>
      <c r="T11" s="29"/>
      <c r="U11" s="25"/>
      <c r="W11" s="173" t="s">
        <v>116</v>
      </c>
      <c r="X11" s="224">
        <v>6.0834999999999993E-2</v>
      </c>
    </row>
    <row r="12" spans="1:24" ht="15.75" x14ac:dyDescent="0.25">
      <c r="B12" s="64"/>
      <c r="C12" s="180" t="s">
        <v>214</v>
      </c>
      <c r="D12" s="187" t="s">
        <v>179</v>
      </c>
      <c r="E12" s="188">
        <v>1.6708000000000001E-2</v>
      </c>
      <c r="F12" s="29"/>
      <c r="G12" s="29"/>
      <c r="H12" s="29"/>
      <c r="I12" s="29"/>
      <c r="J12" s="29"/>
      <c r="K12" s="29"/>
      <c r="L12" s="29"/>
      <c r="M12" s="29"/>
      <c r="N12" s="29"/>
      <c r="O12" s="29"/>
      <c r="P12" s="29"/>
      <c r="Q12" s="29"/>
      <c r="R12" s="29"/>
      <c r="S12" s="29"/>
      <c r="T12" s="29"/>
      <c r="U12" s="25"/>
      <c r="W12" s="173" t="s">
        <v>104</v>
      </c>
      <c r="X12" s="224">
        <v>6.0248999999999997E-2</v>
      </c>
    </row>
    <row r="13" spans="1:24" ht="15.75" x14ac:dyDescent="0.25">
      <c r="B13" s="64"/>
      <c r="C13" s="180" t="s">
        <v>186</v>
      </c>
      <c r="D13" s="187" t="s">
        <v>104</v>
      </c>
      <c r="E13" s="188">
        <v>1.6329E-2</v>
      </c>
      <c r="F13" s="29"/>
      <c r="G13" s="29"/>
      <c r="H13" s="29"/>
      <c r="I13" s="29"/>
      <c r="J13" s="29"/>
      <c r="K13" s="29"/>
      <c r="L13" s="29"/>
      <c r="M13" s="29"/>
      <c r="N13" s="29"/>
      <c r="O13" s="29"/>
      <c r="P13" s="29"/>
      <c r="Q13" s="29"/>
      <c r="R13" s="29"/>
      <c r="S13" s="29"/>
      <c r="T13" s="29"/>
      <c r="U13" s="25"/>
      <c r="W13" s="173" t="s">
        <v>82</v>
      </c>
      <c r="X13" s="224">
        <v>5.6868000000000002E-2</v>
      </c>
    </row>
    <row r="14" spans="1:24" ht="15.75" x14ac:dyDescent="0.25">
      <c r="B14" s="64"/>
      <c r="C14" s="180" t="s">
        <v>226</v>
      </c>
      <c r="D14" s="187" t="s">
        <v>16</v>
      </c>
      <c r="E14" s="188">
        <v>1.6234999999999999E-2</v>
      </c>
      <c r="F14" s="29"/>
      <c r="G14" s="29"/>
      <c r="H14" s="29"/>
      <c r="I14" s="29"/>
      <c r="J14" s="29"/>
      <c r="K14" s="29"/>
      <c r="L14" s="29"/>
      <c r="M14" s="29"/>
      <c r="N14" s="29"/>
      <c r="O14" s="29"/>
      <c r="P14" s="29"/>
      <c r="Q14" s="29"/>
      <c r="R14" s="29"/>
      <c r="S14" s="29"/>
      <c r="T14" s="29"/>
      <c r="U14" s="25"/>
      <c r="W14" s="173" t="s">
        <v>4</v>
      </c>
      <c r="X14" s="224">
        <v>5.6503999999999999E-2</v>
      </c>
    </row>
    <row r="15" spans="1:24" ht="15.75" x14ac:dyDescent="0.25">
      <c r="B15" s="64"/>
      <c r="C15" s="180" t="s">
        <v>311</v>
      </c>
      <c r="D15" s="187" t="s">
        <v>12</v>
      </c>
      <c r="E15" s="188">
        <v>1.4553999999999999E-2</v>
      </c>
      <c r="F15" s="29"/>
      <c r="G15" s="29"/>
      <c r="H15" s="29"/>
      <c r="I15" s="29"/>
      <c r="J15" s="29"/>
      <c r="K15" s="29"/>
      <c r="L15" s="29"/>
      <c r="M15" s="29"/>
      <c r="N15" s="29"/>
      <c r="O15" s="29"/>
      <c r="P15" s="29"/>
      <c r="Q15" s="29"/>
      <c r="R15" s="29"/>
      <c r="S15" s="29"/>
      <c r="T15" s="29"/>
      <c r="U15" s="25"/>
      <c r="W15" s="173" t="s">
        <v>24</v>
      </c>
      <c r="X15" s="224">
        <v>5.3988999999999995E-2</v>
      </c>
    </row>
    <row r="16" spans="1:24" ht="15.75" x14ac:dyDescent="0.25">
      <c r="B16" s="64"/>
      <c r="C16" s="180" t="s">
        <v>253</v>
      </c>
      <c r="D16" s="187" t="s">
        <v>3</v>
      </c>
      <c r="E16" s="188">
        <v>1.4201E-2</v>
      </c>
      <c r="F16" s="29"/>
      <c r="G16" s="29"/>
      <c r="H16" s="29"/>
      <c r="I16" s="29"/>
      <c r="J16" s="29"/>
      <c r="K16" s="29"/>
      <c r="L16" s="29"/>
      <c r="M16" s="29"/>
      <c r="N16" s="29"/>
      <c r="O16" s="29"/>
      <c r="P16" s="29"/>
      <c r="Q16" s="29"/>
      <c r="R16" s="29"/>
      <c r="S16" s="29"/>
      <c r="T16" s="29"/>
      <c r="U16" s="25"/>
      <c r="W16" s="173" t="s">
        <v>16</v>
      </c>
      <c r="X16" s="224">
        <v>4.0984E-2</v>
      </c>
    </row>
    <row r="17" spans="2:24" ht="15.75" x14ac:dyDescent="0.25">
      <c r="B17" s="64"/>
      <c r="C17" s="180" t="s">
        <v>300</v>
      </c>
      <c r="D17" s="187" t="s">
        <v>82</v>
      </c>
      <c r="E17" s="188">
        <v>1.3901999999999999E-2</v>
      </c>
      <c r="F17" s="29"/>
      <c r="G17" s="29"/>
      <c r="H17" s="29"/>
      <c r="I17" s="29"/>
      <c r="J17" s="29"/>
      <c r="K17" s="29"/>
      <c r="L17" s="29"/>
      <c r="M17" s="29"/>
      <c r="N17" s="29"/>
      <c r="O17" s="29"/>
      <c r="P17" s="29"/>
      <c r="Q17" s="29"/>
      <c r="R17" s="29"/>
      <c r="S17" s="29"/>
      <c r="T17" s="29"/>
      <c r="U17" s="25"/>
      <c r="W17" s="173" t="s">
        <v>74</v>
      </c>
      <c r="X17" s="224">
        <v>4.0861000000000001E-2</v>
      </c>
    </row>
    <row r="18" spans="2:24" ht="15.75" x14ac:dyDescent="0.25">
      <c r="B18" s="64"/>
      <c r="C18" s="180" t="s">
        <v>284</v>
      </c>
      <c r="D18" s="187" t="s">
        <v>108</v>
      </c>
      <c r="E18" s="188">
        <v>1.3552E-2</v>
      </c>
      <c r="F18" s="29"/>
      <c r="G18" s="29"/>
      <c r="H18" s="29"/>
      <c r="I18" s="29"/>
      <c r="J18" s="29"/>
      <c r="K18" s="29"/>
      <c r="L18" s="29"/>
      <c r="M18" s="29"/>
      <c r="N18" s="29"/>
      <c r="O18" s="29"/>
      <c r="P18" s="29"/>
      <c r="Q18" s="29"/>
      <c r="R18" s="29"/>
      <c r="S18" s="29"/>
      <c r="T18" s="29"/>
      <c r="U18" s="25"/>
      <c r="W18" s="173" t="s">
        <v>113</v>
      </c>
      <c r="X18" s="224">
        <v>3.5804000000000002E-2</v>
      </c>
    </row>
    <row r="19" spans="2:24" ht="15.75" x14ac:dyDescent="0.25">
      <c r="B19" s="64"/>
      <c r="C19" s="180" t="s">
        <v>136</v>
      </c>
      <c r="D19" s="187" t="s">
        <v>24</v>
      </c>
      <c r="E19" s="188">
        <v>1.2678999999999999E-2</v>
      </c>
      <c r="F19" s="29"/>
      <c r="G19" s="29"/>
      <c r="H19" s="29"/>
      <c r="I19" s="29"/>
      <c r="J19" s="29"/>
      <c r="K19" s="29"/>
      <c r="L19" s="29"/>
      <c r="M19" s="29"/>
      <c r="N19" s="29"/>
      <c r="O19" s="29"/>
      <c r="P19" s="29"/>
      <c r="Q19" s="29"/>
      <c r="R19" s="29"/>
      <c r="S19" s="29"/>
      <c r="T19" s="29"/>
      <c r="U19" s="25"/>
      <c r="W19" s="173" t="s">
        <v>110</v>
      </c>
      <c r="X19" s="224">
        <v>3.0905000000000002E-2</v>
      </c>
    </row>
    <row r="20" spans="2:24" ht="15.75" x14ac:dyDescent="0.25">
      <c r="B20" s="64"/>
      <c r="C20" s="180" t="s">
        <v>266</v>
      </c>
      <c r="D20" s="187" t="s">
        <v>3</v>
      </c>
      <c r="E20" s="188">
        <v>1.208E-2</v>
      </c>
      <c r="F20" s="29"/>
      <c r="G20" s="29"/>
      <c r="H20" s="29"/>
      <c r="I20" s="29"/>
      <c r="J20" s="29"/>
      <c r="K20" s="29"/>
      <c r="L20" s="29"/>
      <c r="M20" s="29"/>
      <c r="N20" s="29"/>
      <c r="O20" s="29"/>
      <c r="P20" s="29"/>
      <c r="Q20" s="29"/>
      <c r="R20" s="29"/>
      <c r="S20" s="29"/>
      <c r="T20" s="29"/>
      <c r="U20" s="25"/>
      <c r="W20" s="173" t="s">
        <v>12</v>
      </c>
      <c r="X20" s="224">
        <v>2.9617999999999998E-2</v>
      </c>
    </row>
    <row r="21" spans="2:24" ht="15.75" x14ac:dyDescent="0.25">
      <c r="B21" s="64"/>
      <c r="C21" s="180" t="s">
        <v>335</v>
      </c>
      <c r="D21" s="187" t="s">
        <v>113</v>
      </c>
      <c r="E21" s="188">
        <v>1.1901E-2</v>
      </c>
      <c r="F21" s="29"/>
      <c r="G21" s="29"/>
      <c r="H21" s="29"/>
      <c r="I21" s="29"/>
      <c r="J21" s="29"/>
      <c r="K21" s="29"/>
      <c r="L21" s="29"/>
      <c r="M21" s="29"/>
      <c r="N21" s="29"/>
      <c r="O21" s="29"/>
      <c r="P21" s="29"/>
      <c r="Q21" s="29"/>
      <c r="R21" s="29"/>
      <c r="S21" s="29"/>
      <c r="T21" s="29"/>
      <c r="U21" s="25"/>
      <c r="W21" s="173" t="s">
        <v>115</v>
      </c>
      <c r="X21" s="224">
        <v>2.5734E-2</v>
      </c>
    </row>
    <row r="22" spans="2:24" ht="15.75" x14ac:dyDescent="0.25">
      <c r="B22" s="64"/>
      <c r="C22" s="180" t="s">
        <v>439</v>
      </c>
      <c r="D22" s="187" t="s">
        <v>3</v>
      </c>
      <c r="E22" s="188">
        <v>1.1609E-2</v>
      </c>
      <c r="F22" s="29"/>
      <c r="G22" s="29"/>
      <c r="H22" s="29"/>
      <c r="I22" s="29"/>
      <c r="J22" s="29"/>
      <c r="K22" s="29"/>
      <c r="L22" s="29"/>
      <c r="M22" s="29"/>
      <c r="N22" s="29"/>
      <c r="O22" s="29"/>
      <c r="P22" s="29"/>
      <c r="Q22" s="29"/>
      <c r="R22" s="29"/>
      <c r="S22" s="29"/>
      <c r="T22" s="29"/>
      <c r="U22" s="25"/>
      <c r="W22" s="173" t="s">
        <v>179</v>
      </c>
      <c r="X22" s="224">
        <v>2.5396000000000002E-2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10</v>
      </c>
      <c r="X23" s="224">
        <v>2.2031000000000002E-2</v>
      </c>
    </row>
    <row r="24" spans="2:24" ht="15.75" x14ac:dyDescent="0.25">
      <c r="B24" s="64"/>
      <c r="C24" s="73" t="s">
        <v>55</v>
      </c>
      <c r="D24" s="74"/>
      <c r="E24" s="75">
        <f>SUM(E8:E22)</f>
        <v>0.25046000000000002</v>
      </c>
      <c r="F24" s="29"/>
      <c r="G24" s="29"/>
      <c r="H24" s="29"/>
      <c r="I24" s="29"/>
      <c r="J24" s="29"/>
      <c r="K24" s="29"/>
      <c r="L24" s="29"/>
      <c r="M24" s="29"/>
      <c r="N24" s="29"/>
      <c r="O24" s="29"/>
      <c r="P24" s="29"/>
      <c r="Q24" s="29"/>
      <c r="R24" s="29"/>
      <c r="S24" s="29"/>
      <c r="T24" s="29"/>
      <c r="U24" s="25"/>
      <c r="W24" s="173" t="s">
        <v>83</v>
      </c>
      <c r="X24" s="224">
        <v>1.9133999999999998E-2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112</v>
      </c>
      <c r="X25" s="224">
        <v>1.8745000000000001E-2</v>
      </c>
    </row>
    <row r="26" spans="2:24" x14ac:dyDescent="0.25">
      <c r="B26" s="64"/>
      <c r="C26" s="29"/>
      <c r="D26" s="29"/>
      <c r="E26" s="29"/>
      <c r="F26" s="29"/>
      <c r="G26" s="29"/>
      <c r="H26" s="29"/>
      <c r="I26" s="29"/>
      <c r="J26" s="29"/>
      <c r="K26" s="29"/>
      <c r="L26" s="29"/>
      <c r="M26" s="29"/>
      <c r="N26" s="29"/>
      <c r="O26" s="29"/>
      <c r="P26" s="29"/>
      <c r="Q26" s="29"/>
      <c r="R26" s="29"/>
      <c r="S26" s="29"/>
      <c r="T26" s="29"/>
      <c r="U26" s="25"/>
      <c r="W26" s="173" t="s">
        <v>25</v>
      </c>
      <c r="X26" s="224">
        <v>1.8467000000000001E-2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80</v>
      </c>
      <c r="X27" s="62">
        <v>1.4846E-2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26</v>
      </c>
      <c r="X28" s="62">
        <v>1.4050999999999999E-2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81</v>
      </c>
      <c r="X29" s="62">
        <v>1.3690000000000001E-2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134</v>
      </c>
      <c r="X30" s="62">
        <v>1.3304999999999999E-2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124</v>
      </c>
      <c r="X31" s="62">
        <v>1.2843E-2</v>
      </c>
    </row>
    <row r="32" spans="2:24" x14ac:dyDescent="0.25">
      <c r="B32" s="64"/>
      <c r="C32" s="29"/>
      <c r="D32" s="29"/>
      <c r="E32" s="29"/>
      <c r="F32" s="29"/>
      <c r="G32" s="29"/>
      <c r="H32" s="29"/>
      <c r="I32" s="29"/>
      <c r="J32" s="29"/>
      <c r="K32" s="29"/>
      <c r="L32" s="29"/>
      <c r="M32" s="29"/>
      <c r="N32" s="29"/>
      <c r="O32" s="29"/>
      <c r="P32" s="29"/>
      <c r="Q32" s="29"/>
      <c r="R32" s="29"/>
      <c r="S32" s="29"/>
      <c r="T32" s="29"/>
      <c r="U32" s="25"/>
      <c r="W32" s="61" t="s">
        <v>118</v>
      </c>
      <c r="X32" s="62">
        <v>1.2575000000000001E-2</v>
      </c>
    </row>
    <row r="33" spans="2:24" x14ac:dyDescent="0.25">
      <c r="B33" s="64"/>
      <c r="C33" s="29"/>
      <c r="D33" s="29"/>
      <c r="E33" s="29"/>
      <c r="F33" s="29"/>
      <c r="G33" s="29"/>
      <c r="H33" s="29"/>
      <c r="I33" s="29"/>
      <c r="J33" s="29"/>
      <c r="K33" s="29"/>
      <c r="L33" s="29"/>
      <c r="M33" s="29"/>
      <c r="N33" s="29"/>
      <c r="O33" s="29"/>
      <c r="P33" s="29"/>
      <c r="Q33" s="29"/>
      <c r="R33" s="29"/>
      <c r="S33" s="29"/>
      <c r="T33" s="29"/>
      <c r="U33" s="25"/>
      <c r="W33" s="61" t="s">
        <v>6</v>
      </c>
      <c r="X33" s="62">
        <v>1.2055999999999999E-2</v>
      </c>
    </row>
    <row r="34" spans="2:24" x14ac:dyDescent="0.25">
      <c r="B34" s="64"/>
      <c r="C34" s="29"/>
      <c r="D34" s="29"/>
      <c r="E34" s="29"/>
      <c r="F34" s="29"/>
      <c r="G34" s="29"/>
      <c r="H34" s="29"/>
      <c r="I34" s="29"/>
      <c r="J34" s="29"/>
      <c r="K34" s="29"/>
      <c r="L34" s="29"/>
      <c r="M34" s="29"/>
      <c r="N34" s="29"/>
      <c r="O34" s="29"/>
      <c r="P34" s="29"/>
      <c r="Q34" s="29"/>
      <c r="R34" s="29"/>
      <c r="S34" s="29"/>
      <c r="T34" s="29"/>
      <c r="U34" s="25"/>
      <c r="W34" s="61" t="s">
        <v>143</v>
      </c>
      <c r="X34" s="62">
        <v>1.1903E-2</v>
      </c>
    </row>
    <row r="35" spans="2:24" x14ac:dyDescent="0.25">
      <c r="B35" s="64"/>
      <c r="C35" s="29"/>
      <c r="D35" s="29"/>
      <c r="E35" s="29"/>
      <c r="F35" s="29"/>
      <c r="G35" s="29"/>
      <c r="H35" s="29"/>
      <c r="I35" s="29"/>
      <c r="J35" s="29"/>
      <c r="K35" s="29"/>
      <c r="L35" s="29"/>
      <c r="M35" s="29"/>
      <c r="N35" s="29"/>
      <c r="O35" s="29"/>
      <c r="P35" s="29"/>
      <c r="Q35" s="29"/>
      <c r="R35" s="29"/>
      <c r="S35" s="29"/>
      <c r="T35" s="29"/>
      <c r="U35" s="25"/>
      <c r="W35" s="61" t="s">
        <v>119</v>
      </c>
      <c r="X35" s="62">
        <v>1.1599E-2</v>
      </c>
    </row>
    <row r="36" spans="2:24" x14ac:dyDescent="0.25">
      <c r="B36" s="64"/>
      <c r="C36" s="29"/>
      <c r="D36" s="29"/>
      <c r="E36" s="29"/>
      <c r="F36" s="29"/>
      <c r="G36" s="29"/>
      <c r="H36" s="29"/>
      <c r="I36" s="29"/>
      <c r="J36" s="29"/>
      <c r="K36" s="29"/>
      <c r="L36" s="29"/>
      <c r="M36" s="29"/>
      <c r="N36" s="29"/>
      <c r="O36" s="29"/>
      <c r="P36" s="29"/>
      <c r="Q36" s="29"/>
      <c r="R36" s="29"/>
      <c r="S36" s="29"/>
      <c r="T36" s="29"/>
      <c r="U36" s="25"/>
      <c r="W36" s="61" t="s">
        <v>11</v>
      </c>
      <c r="X36" s="62">
        <v>1.1344E-2</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127</v>
      </c>
      <c r="X37" s="62">
        <v>1.0909E-2</v>
      </c>
    </row>
    <row r="38" spans="2:24" ht="15.75" thickBot="1" x14ac:dyDescent="0.3">
      <c r="W38" s="61" t="s">
        <v>23</v>
      </c>
      <c r="X38" s="62">
        <v>9.5149999999999992E-3</v>
      </c>
    </row>
    <row r="39" spans="2:24" x14ac:dyDescent="0.25">
      <c r="B39" s="306" t="s">
        <v>177</v>
      </c>
      <c r="C39" s="307"/>
      <c r="D39" s="307"/>
      <c r="E39" s="307"/>
      <c r="F39" s="307"/>
      <c r="G39" s="307"/>
      <c r="H39" s="307"/>
      <c r="I39" s="307"/>
      <c r="J39" s="307"/>
      <c r="K39" s="307"/>
      <c r="L39" s="307"/>
      <c r="M39" s="307"/>
      <c r="N39" s="307"/>
      <c r="O39" s="307"/>
      <c r="P39" s="307"/>
      <c r="Q39" s="307"/>
      <c r="R39" s="308"/>
      <c r="W39" s="61" t="s">
        <v>15</v>
      </c>
      <c r="X39" s="62">
        <v>9.4510000000000011E-3</v>
      </c>
    </row>
    <row r="40" spans="2:24" x14ac:dyDescent="0.25">
      <c r="B40" s="309"/>
      <c r="C40" s="310"/>
      <c r="D40" s="310"/>
      <c r="E40" s="310"/>
      <c r="F40" s="310"/>
      <c r="G40" s="310"/>
      <c r="H40" s="310"/>
      <c r="I40" s="310"/>
      <c r="J40" s="310"/>
      <c r="K40" s="310"/>
      <c r="L40" s="310"/>
      <c r="M40" s="310"/>
      <c r="N40" s="310"/>
      <c r="O40" s="310"/>
      <c r="P40" s="310"/>
      <c r="Q40" s="310"/>
      <c r="R40" s="311"/>
      <c r="W40" s="61" t="s">
        <v>111</v>
      </c>
      <c r="X40" s="62">
        <v>6.8640000000000003E-3</v>
      </c>
    </row>
    <row r="41" spans="2:24" x14ac:dyDescent="0.25">
      <c r="B41" s="309"/>
      <c r="C41" s="310"/>
      <c r="D41" s="310"/>
      <c r="E41" s="310"/>
      <c r="F41" s="310"/>
      <c r="G41" s="310"/>
      <c r="H41" s="310"/>
      <c r="I41" s="310"/>
      <c r="J41" s="310"/>
      <c r="K41" s="310"/>
      <c r="L41" s="310"/>
      <c r="M41" s="310"/>
      <c r="N41" s="310"/>
      <c r="O41" s="310"/>
      <c r="P41" s="310"/>
      <c r="Q41" s="310"/>
      <c r="R41" s="311"/>
      <c r="W41" s="61" t="s">
        <v>13</v>
      </c>
      <c r="X41" s="62">
        <v>6.6730000000000001E-3</v>
      </c>
    </row>
    <row r="42" spans="2:24" x14ac:dyDescent="0.25">
      <c r="B42" s="309"/>
      <c r="C42" s="310"/>
      <c r="D42" s="310"/>
      <c r="E42" s="310"/>
      <c r="F42" s="310"/>
      <c r="G42" s="310"/>
      <c r="H42" s="310"/>
      <c r="I42" s="310"/>
      <c r="J42" s="310"/>
      <c r="K42" s="310"/>
      <c r="L42" s="310"/>
      <c r="M42" s="310"/>
      <c r="N42" s="310"/>
      <c r="O42" s="310"/>
      <c r="P42" s="310"/>
      <c r="Q42" s="310"/>
      <c r="R42" s="311"/>
      <c r="W42" s="61" t="s">
        <v>121</v>
      </c>
      <c r="X42" s="62">
        <v>6.1989999999999996E-3</v>
      </c>
    </row>
    <row r="43" spans="2:24" x14ac:dyDescent="0.25">
      <c r="B43" s="309"/>
      <c r="C43" s="310"/>
      <c r="D43" s="310"/>
      <c r="E43" s="310"/>
      <c r="F43" s="310"/>
      <c r="G43" s="310"/>
      <c r="H43" s="310"/>
      <c r="I43" s="310"/>
      <c r="J43" s="310"/>
      <c r="K43" s="310"/>
      <c r="L43" s="310"/>
      <c r="M43" s="310"/>
      <c r="N43" s="310"/>
      <c r="O43" s="310"/>
      <c r="P43" s="310"/>
      <c r="Q43" s="310"/>
      <c r="R43" s="311"/>
      <c r="W43" s="61" t="s">
        <v>84</v>
      </c>
      <c r="X43" s="62">
        <v>5.326E-3</v>
      </c>
    </row>
    <row r="44" spans="2:24" x14ac:dyDescent="0.25">
      <c r="B44" s="309"/>
      <c r="C44" s="310"/>
      <c r="D44" s="310"/>
      <c r="E44" s="310"/>
      <c r="F44" s="310"/>
      <c r="G44" s="310"/>
      <c r="H44" s="310"/>
      <c r="I44" s="310"/>
      <c r="J44" s="310"/>
      <c r="K44" s="310"/>
      <c r="L44" s="310"/>
      <c r="M44" s="310"/>
      <c r="N44" s="310"/>
      <c r="O44" s="310"/>
      <c r="P44" s="310"/>
      <c r="Q44" s="310"/>
      <c r="R44" s="311"/>
      <c r="W44" s="61" t="s">
        <v>120</v>
      </c>
      <c r="X44" s="62">
        <v>4.45E-3</v>
      </c>
    </row>
    <row r="45" spans="2:24" ht="15.75" thickBot="1" x14ac:dyDescent="0.3">
      <c r="B45" s="312"/>
      <c r="C45" s="313"/>
      <c r="D45" s="313"/>
      <c r="E45" s="313"/>
      <c r="F45" s="313"/>
      <c r="G45" s="313"/>
      <c r="H45" s="313"/>
      <c r="I45" s="313"/>
      <c r="J45" s="313"/>
      <c r="K45" s="313"/>
      <c r="L45" s="313"/>
      <c r="M45" s="313"/>
      <c r="N45" s="313"/>
      <c r="O45" s="313"/>
      <c r="P45" s="313"/>
      <c r="Q45" s="313"/>
      <c r="R45" s="314"/>
      <c r="W45" s="61" t="s">
        <v>103</v>
      </c>
      <c r="X45" s="62">
        <v>4.0920000000000002E-3</v>
      </c>
    </row>
    <row r="46" spans="2:24" x14ac:dyDescent="0.25">
      <c r="W46" s="61" t="s">
        <v>92</v>
      </c>
      <c r="X46" s="62">
        <v>1.7819999999999999E-3</v>
      </c>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4726D-8DFD-4CEF-A48A-8D8D6C857B62}">
  <dimension ref="A1:X63"/>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293</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424</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304</v>
      </c>
      <c r="D8" s="185" t="s">
        <v>11</v>
      </c>
      <c r="E8" s="186">
        <v>5.6788999999999999E-2</v>
      </c>
      <c r="F8" s="29"/>
      <c r="G8" s="29"/>
      <c r="H8" s="29"/>
      <c r="I8" s="29"/>
      <c r="J8" s="29"/>
      <c r="K8" s="29"/>
      <c r="L8" s="29"/>
      <c r="M8" s="29"/>
      <c r="N8" s="29"/>
      <c r="O8" s="29"/>
      <c r="P8" s="29"/>
      <c r="Q8" s="29"/>
      <c r="R8" s="29"/>
      <c r="S8" s="29"/>
      <c r="T8" s="29"/>
      <c r="U8" s="25"/>
      <c r="W8" s="173" t="s">
        <v>3</v>
      </c>
      <c r="X8" s="224">
        <v>0.18482200000000001</v>
      </c>
    </row>
    <row r="9" spans="1:24" ht="15.75" x14ac:dyDescent="0.25">
      <c r="B9" s="64"/>
      <c r="C9" s="180" t="s">
        <v>306</v>
      </c>
      <c r="D9" s="187" t="s">
        <v>6</v>
      </c>
      <c r="E9" s="188">
        <v>5.3318999999999998E-2</v>
      </c>
      <c r="F9" s="29"/>
      <c r="G9" s="29"/>
      <c r="H9" s="29"/>
      <c r="I9" s="29"/>
      <c r="J9" s="29"/>
      <c r="K9" s="29"/>
      <c r="L9" s="29"/>
      <c r="M9" s="29"/>
      <c r="N9" s="29"/>
      <c r="O9" s="29"/>
      <c r="P9" s="29"/>
      <c r="Q9" s="29"/>
      <c r="R9" s="29"/>
      <c r="S9" s="29"/>
      <c r="T9" s="29"/>
      <c r="U9" s="25"/>
      <c r="W9" s="173" t="s">
        <v>6</v>
      </c>
      <c r="X9" s="224">
        <v>0.12539600000000001</v>
      </c>
    </row>
    <row r="10" spans="1:24" ht="15.75" x14ac:dyDescent="0.25">
      <c r="B10" s="64"/>
      <c r="C10" s="180" t="s">
        <v>305</v>
      </c>
      <c r="D10" s="187" t="s">
        <v>6</v>
      </c>
      <c r="E10" s="188">
        <v>5.0982E-2</v>
      </c>
      <c r="F10" s="29"/>
      <c r="G10" s="29"/>
      <c r="H10" s="29"/>
      <c r="I10" s="29"/>
      <c r="J10" s="29"/>
      <c r="K10" s="29"/>
      <c r="L10" s="29"/>
      <c r="M10" s="29"/>
      <c r="N10" s="29"/>
      <c r="O10" s="29"/>
      <c r="P10" s="29"/>
      <c r="Q10" s="29"/>
      <c r="R10" s="29"/>
      <c r="S10" s="29"/>
      <c r="T10" s="29"/>
      <c r="U10" s="25"/>
      <c r="W10" s="173" t="s">
        <v>10</v>
      </c>
      <c r="X10" s="224">
        <v>0.105</v>
      </c>
    </row>
    <row r="11" spans="1:24" ht="15.75" x14ac:dyDescent="0.25">
      <c r="B11" s="64"/>
      <c r="C11" s="180" t="s">
        <v>195</v>
      </c>
      <c r="D11" s="187" t="s">
        <v>128</v>
      </c>
      <c r="E11" s="188">
        <v>5.0873000000000002E-2</v>
      </c>
      <c r="F11" s="29"/>
      <c r="G11" s="29"/>
      <c r="H11" s="29"/>
      <c r="I11" s="29"/>
      <c r="J11" s="29"/>
      <c r="K11" s="29"/>
      <c r="L11" s="29"/>
      <c r="M11" s="29"/>
      <c r="N11" s="29"/>
      <c r="O11" s="29"/>
      <c r="P11" s="29"/>
      <c r="Q11" s="29"/>
      <c r="R11" s="29"/>
      <c r="S11" s="29"/>
      <c r="T11" s="29"/>
      <c r="U11" s="25"/>
      <c r="W11" s="173" t="s">
        <v>11</v>
      </c>
      <c r="X11" s="224">
        <v>8.0920999999999993E-2</v>
      </c>
    </row>
    <row r="12" spans="1:24" ht="15.75" x14ac:dyDescent="0.25">
      <c r="B12" s="64"/>
      <c r="C12" s="180" t="s">
        <v>240</v>
      </c>
      <c r="D12" s="187" t="s">
        <v>80</v>
      </c>
      <c r="E12" s="188">
        <v>5.0774E-2</v>
      </c>
      <c r="F12" s="29"/>
      <c r="G12" s="29"/>
      <c r="H12" s="29"/>
      <c r="I12" s="29"/>
      <c r="J12" s="29"/>
      <c r="K12" s="29"/>
      <c r="L12" s="29"/>
      <c r="M12" s="29"/>
      <c r="N12" s="29"/>
      <c r="O12" s="29"/>
      <c r="P12" s="29"/>
      <c r="Q12" s="29"/>
      <c r="R12" s="29"/>
      <c r="S12" s="29"/>
      <c r="T12" s="29"/>
      <c r="U12" s="25"/>
      <c r="W12" s="173" t="s">
        <v>4</v>
      </c>
      <c r="X12" s="224">
        <v>6.3438999999999995E-2</v>
      </c>
    </row>
    <row r="13" spans="1:24" ht="15.75" x14ac:dyDescent="0.25">
      <c r="B13" s="64"/>
      <c r="C13" s="180" t="s">
        <v>302</v>
      </c>
      <c r="D13" s="187" t="s">
        <v>15</v>
      </c>
      <c r="E13" s="188">
        <v>4.9876999999999998E-2</v>
      </c>
      <c r="F13" s="29"/>
      <c r="G13" s="29"/>
      <c r="H13" s="29"/>
      <c r="I13" s="29"/>
      <c r="J13" s="29"/>
      <c r="K13" s="29"/>
      <c r="L13" s="29"/>
      <c r="M13" s="29"/>
      <c r="N13" s="29"/>
      <c r="O13" s="29"/>
      <c r="P13" s="29"/>
      <c r="Q13" s="29"/>
      <c r="R13" s="29"/>
      <c r="S13" s="29"/>
      <c r="T13" s="29"/>
      <c r="U13" s="25"/>
      <c r="W13" s="173" t="s">
        <v>15</v>
      </c>
      <c r="X13" s="224">
        <v>5.9583999999999998E-2</v>
      </c>
    </row>
    <row r="14" spans="1:24" ht="15.75" x14ac:dyDescent="0.25">
      <c r="B14" s="64"/>
      <c r="C14" s="180" t="s">
        <v>76</v>
      </c>
      <c r="D14" s="187" t="s">
        <v>3</v>
      </c>
      <c r="E14" s="188">
        <v>4.9494000000000003E-2</v>
      </c>
      <c r="F14" s="29"/>
      <c r="G14" s="29"/>
      <c r="H14" s="29"/>
      <c r="I14" s="29"/>
      <c r="J14" s="29"/>
      <c r="K14" s="29"/>
      <c r="L14" s="29"/>
      <c r="M14" s="29"/>
      <c r="N14" s="29"/>
      <c r="O14" s="29"/>
      <c r="P14" s="29"/>
      <c r="Q14" s="29"/>
      <c r="R14" s="29"/>
      <c r="S14" s="29"/>
      <c r="T14" s="29"/>
      <c r="U14" s="25"/>
      <c r="W14" s="173" t="s">
        <v>13</v>
      </c>
      <c r="X14" s="224">
        <v>5.4514E-2</v>
      </c>
    </row>
    <row r="15" spans="1:24" ht="15.75" x14ac:dyDescent="0.25">
      <c r="B15" s="64"/>
      <c r="C15" s="180" t="s">
        <v>62</v>
      </c>
      <c r="D15" s="187" t="s">
        <v>10</v>
      </c>
      <c r="E15" s="188">
        <v>4.9390999999999997E-2</v>
      </c>
      <c r="F15" s="29"/>
      <c r="G15" s="29"/>
      <c r="H15" s="29"/>
      <c r="I15" s="29"/>
      <c r="J15" s="29"/>
      <c r="K15" s="29"/>
      <c r="L15" s="29"/>
      <c r="M15" s="29"/>
      <c r="N15" s="29"/>
      <c r="O15" s="29"/>
      <c r="P15" s="29"/>
      <c r="Q15" s="29"/>
      <c r="R15" s="29"/>
      <c r="S15" s="29"/>
      <c r="T15" s="29"/>
      <c r="U15" s="25"/>
      <c r="W15" s="173" t="s">
        <v>128</v>
      </c>
      <c r="X15" s="224">
        <v>5.0873000000000002E-2</v>
      </c>
    </row>
    <row r="16" spans="1:24" ht="15.75" x14ac:dyDescent="0.25">
      <c r="B16" s="64"/>
      <c r="C16" s="180" t="s">
        <v>303</v>
      </c>
      <c r="D16" s="187" t="s">
        <v>13</v>
      </c>
      <c r="E16" s="188">
        <v>4.9327000000000003E-2</v>
      </c>
      <c r="F16" s="29"/>
      <c r="G16" s="29"/>
      <c r="H16" s="29"/>
      <c r="I16" s="29"/>
      <c r="J16" s="29"/>
      <c r="K16" s="29"/>
      <c r="L16" s="29"/>
      <c r="M16" s="29"/>
      <c r="N16" s="29"/>
      <c r="O16" s="29"/>
      <c r="P16" s="29"/>
      <c r="Q16" s="29"/>
      <c r="R16" s="29"/>
      <c r="S16" s="29"/>
      <c r="T16" s="29"/>
      <c r="U16" s="25"/>
      <c r="W16" s="173" t="s">
        <v>80</v>
      </c>
      <c r="X16" s="224">
        <v>5.0774E-2</v>
      </c>
    </row>
    <row r="17" spans="2:24" ht="15.75" x14ac:dyDescent="0.25">
      <c r="B17" s="64"/>
      <c r="C17" s="180" t="s">
        <v>77</v>
      </c>
      <c r="D17" s="187" t="s">
        <v>109</v>
      </c>
      <c r="E17" s="188">
        <v>4.8080999999999999E-2</v>
      </c>
      <c r="F17" s="29"/>
      <c r="G17" s="29"/>
      <c r="H17" s="29"/>
      <c r="I17" s="29"/>
      <c r="J17" s="29"/>
      <c r="K17" s="29"/>
      <c r="L17" s="29"/>
      <c r="M17" s="29"/>
      <c r="N17" s="29"/>
      <c r="O17" s="29"/>
      <c r="P17" s="29"/>
      <c r="Q17" s="29"/>
      <c r="R17" s="29"/>
      <c r="S17" s="29"/>
      <c r="T17" s="29"/>
      <c r="U17" s="25"/>
      <c r="W17" s="173" t="s">
        <v>109</v>
      </c>
      <c r="X17" s="224">
        <v>4.8080999999999999E-2</v>
      </c>
    </row>
    <row r="18" spans="2:24" ht="15.75" x14ac:dyDescent="0.25">
      <c r="B18" s="64"/>
      <c r="C18" s="180" t="s">
        <v>268</v>
      </c>
      <c r="D18" s="187" t="s">
        <v>130</v>
      </c>
      <c r="E18" s="188">
        <v>4.6823999999999998E-2</v>
      </c>
      <c r="F18" s="29"/>
      <c r="G18" s="29"/>
      <c r="H18" s="29"/>
      <c r="I18" s="29"/>
      <c r="J18" s="29"/>
      <c r="K18" s="29"/>
      <c r="L18" s="29"/>
      <c r="M18" s="29"/>
      <c r="N18" s="29"/>
      <c r="O18" s="29"/>
      <c r="P18" s="29"/>
      <c r="Q18" s="29"/>
      <c r="R18" s="29"/>
      <c r="S18" s="29"/>
      <c r="T18" s="29"/>
      <c r="U18" s="25"/>
      <c r="W18" s="173" t="s">
        <v>130</v>
      </c>
      <c r="X18" s="224">
        <v>4.6823999999999998E-2</v>
      </c>
    </row>
    <row r="19" spans="2:24" ht="15.75" x14ac:dyDescent="0.25">
      <c r="B19" s="64"/>
      <c r="C19" s="180" t="s">
        <v>301</v>
      </c>
      <c r="D19" s="187" t="s">
        <v>10</v>
      </c>
      <c r="E19" s="188">
        <v>4.6224000000000001E-2</v>
      </c>
      <c r="F19" s="29"/>
      <c r="G19" s="29"/>
      <c r="H19" s="29"/>
      <c r="I19" s="29"/>
      <c r="J19" s="29"/>
      <c r="K19" s="29"/>
      <c r="L19" s="29"/>
      <c r="M19" s="29"/>
      <c r="N19" s="29"/>
      <c r="O19" s="29"/>
      <c r="P19" s="29"/>
      <c r="Q19" s="29"/>
      <c r="R19" s="29"/>
      <c r="S19" s="29"/>
      <c r="T19" s="29"/>
      <c r="U19" s="25"/>
      <c r="W19" s="173" t="s">
        <v>115</v>
      </c>
      <c r="X19" s="224">
        <v>3.1838999999999999E-2</v>
      </c>
    </row>
    <row r="20" spans="2:24" ht="15.75" x14ac:dyDescent="0.25">
      <c r="B20" s="64"/>
      <c r="C20" s="180" t="s">
        <v>307</v>
      </c>
      <c r="D20" s="187" t="s">
        <v>115</v>
      </c>
      <c r="E20" s="188">
        <v>2.5590999999999999E-2</v>
      </c>
      <c r="F20" s="29"/>
      <c r="G20" s="29"/>
      <c r="H20" s="29"/>
      <c r="I20" s="29"/>
      <c r="J20" s="29"/>
      <c r="K20" s="29"/>
      <c r="L20" s="29"/>
      <c r="M20" s="29"/>
      <c r="N20" s="29"/>
      <c r="O20" s="29"/>
      <c r="P20" s="29"/>
      <c r="Q20" s="29"/>
      <c r="R20" s="29"/>
      <c r="S20" s="29"/>
      <c r="T20" s="29"/>
      <c r="U20" s="25"/>
      <c r="W20" s="173" t="s">
        <v>143</v>
      </c>
      <c r="X20" s="224">
        <v>2.3324999999999999E-2</v>
      </c>
    </row>
    <row r="21" spans="2:24" ht="15.75" x14ac:dyDescent="0.25">
      <c r="B21" s="64"/>
      <c r="C21" s="180" t="s">
        <v>73</v>
      </c>
      <c r="D21" s="187" t="s">
        <v>4</v>
      </c>
      <c r="E21" s="188">
        <v>2.5316999999999999E-2</v>
      </c>
      <c r="F21" s="29"/>
      <c r="G21" s="29"/>
      <c r="H21" s="29"/>
      <c r="I21" s="29"/>
      <c r="J21" s="29"/>
      <c r="K21" s="29"/>
      <c r="L21" s="29"/>
      <c r="M21" s="29"/>
      <c r="N21" s="29"/>
      <c r="O21" s="29"/>
      <c r="P21" s="29"/>
      <c r="Q21" s="29"/>
      <c r="R21" s="29"/>
      <c r="S21" s="29"/>
      <c r="T21" s="29"/>
      <c r="U21" s="25"/>
      <c r="W21" s="173" t="s">
        <v>25</v>
      </c>
      <c r="X21" s="224">
        <v>2.1494000000000003E-2</v>
      </c>
    </row>
    <row r="22" spans="2:24" ht="15.75" x14ac:dyDescent="0.25">
      <c r="B22" s="64"/>
      <c r="C22" s="180" t="s">
        <v>440</v>
      </c>
      <c r="D22" s="187" t="s">
        <v>11</v>
      </c>
      <c r="E22" s="188">
        <v>2.4132000000000001E-2</v>
      </c>
      <c r="F22" s="29"/>
      <c r="G22" s="29"/>
      <c r="H22" s="29"/>
      <c r="I22" s="29"/>
      <c r="J22" s="29"/>
      <c r="K22" s="29"/>
      <c r="L22" s="29"/>
      <c r="M22" s="29"/>
      <c r="N22" s="29"/>
      <c r="O22" s="29"/>
      <c r="P22" s="29"/>
      <c r="Q22" s="29"/>
      <c r="R22" s="29"/>
      <c r="S22" s="29"/>
      <c r="T22" s="29"/>
      <c r="U22" s="25"/>
      <c r="W22" s="173" t="s">
        <v>113</v>
      </c>
      <c r="X22" s="224">
        <v>1.5033999999999999E-2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121</v>
      </c>
      <c r="X23" s="224">
        <v>1.1533E-2</v>
      </c>
    </row>
    <row r="24" spans="2:24" ht="15.75" x14ac:dyDescent="0.25">
      <c r="B24" s="64"/>
      <c r="C24" s="73" t="s">
        <v>55</v>
      </c>
      <c r="D24" s="74"/>
      <c r="E24" s="75">
        <f>SUM(E8:E22)</f>
        <v>0.67699500000000012</v>
      </c>
      <c r="F24" s="29"/>
      <c r="G24" s="29"/>
      <c r="H24" s="29"/>
      <c r="I24" s="29"/>
      <c r="J24" s="29"/>
      <c r="K24" s="29"/>
      <c r="L24" s="29"/>
      <c r="M24" s="29"/>
      <c r="N24" s="29"/>
      <c r="O24" s="29"/>
      <c r="P24" s="29"/>
      <c r="Q24" s="29"/>
      <c r="R24" s="29"/>
      <c r="S24" s="29"/>
      <c r="T24" s="29"/>
      <c r="U24" s="25"/>
      <c r="W24" s="173" t="s">
        <v>105</v>
      </c>
      <c r="X24" s="224">
        <v>1.1291000000000001E-2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92</v>
      </c>
      <c r="X25" s="224">
        <v>7.7210000000000004E-3</v>
      </c>
    </row>
    <row r="26" spans="2:24" x14ac:dyDescent="0.25">
      <c r="B26" s="64"/>
      <c r="C26" s="29"/>
      <c r="D26" s="29"/>
      <c r="E26" s="29"/>
      <c r="F26" s="29"/>
      <c r="G26" s="29"/>
      <c r="H26" s="29"/>
      <c r="I26" s="29"/>
      <c r="J26" s="29"/>
      <c r="K26" s="29"/>
      <c r="L26" s="29"/>
      <c r="M26" s="29"/>
      <c r="N26" s="29"/>
      <c r="O26" s="29"/>
      <c r="P26" s="29"/>
      <c r="Q26" s="29"/>
      <c r="R26" s="29"/>
      <c r="S26" s="29"/>
      <c r="T26" s="29"/>
      <c r="U26" s="25"/>
      <c r="W26" s="173" t="s">
        <v>23</v>
      </c>
      <c r="X26" s="224">
        <v>6.1019999999999998E-3</v>
      </c>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306" t="s">
        <v>177</v>
      </c>
      <c r="C39" s="307"/>
      <c r="D39" s="307"/>
      <c r="E39" s="307"/>
      <c r="F39" s="307"/>
      <c r="G39" s="307"/>
      <c r="H39" s="307"/>
      <c r="I39" s="307"/>
      <c r="J39" s="307"/>
      <c r="K39" s="307"/>
      <c r="L39" s="307"/>
      <c r="M39" s="307"/>
      <c r="N39" s="307"/>
      <c r="O39" s="307"/>
      <c r="P39" s="307"/>
      <c r="Q39" s="307"/>
      <c r="R39" s="308"/>
      <c r="W39" s="61"/>
      <c r="X39" s="62"/>
    </row>
    <row r="40" spans="2:24" x14ac:dyDescent="0.25">
      <c r="B40" s="309"/>
      <c r="C40" s="310"/>
      <c r="D40" s="310"/>
      <c r="E40" s="310"/>
      <c r="F40" s="310"/>
      <c r="G40" s="310"/>
      <c r="H40" s="310"/>
      <c r="I40" s="310"/>
      <c r="J40" s="310"/>
      <c r="K40" s="310"/>
      <c r="L40" s="310"/>
      <c r="M40" s="310"/>
      <c r="N40" s="310"/>
      <c r="O40" s="310"/>
      <c r="P40" s="310"/>
      <c r="Q40" s="310"/>
      <c r="R40" s="311"/>
      <c r="W40" s="61"/>
      <c r="X40" s="62"/>
    </row>
    <row r="41" spans="2:24" x14ac:dyDescent="0.25">
      <c r="B41" s="309"/>
      <c r="C41" s="310"/>
      <c r="D41" s="310"/>
      <c r="E41" s="310"/>
      <c r="F41" s="310"/>
      <c r="G41" s="310"/>
      <c r="H41" s="310"/>
      <c r="I41" s="310"/>
      <c r="J41" s="310"/>
      <c r="K41" s="310"/>
      <c r="L41" s="310"/>
      <c r="M41" s="310"/>
      <c r="N41" s="310"/>
      <c r="O41" s="310"/>
      <c r="P41" s="310"/>
      <c r="Q41" s="310"/>
      <c r="R41" s="311"/>
      <c r="W41" s="61"/>
      <c r="X41" s="62"/>
    </row>
    <row r="42" spans="2:24" x14ac:dyDescent="0.25">
      <c r="B42" s="309"/>
      <c r="C42" s="310"/>
      <c r="D42" s="310"/>
      <c r="E42" s="310"/>
      <c r="F42" s="310"/>
      <c r="G42" s="310"/>
      <c r="H42" s="310"/>
      <c r="I42" s="310"/>
      <c r="J42" s="310"/>
      <c r="K42" s="310"/>
      <c r="L42" s="310"/>
      <c r="M42" s="310"/>
      <c r="N42" s="310"/>
      <c r="O42" s="310"/>
      <c r="P42" s="310"/>
      <c r="Q42" s="310"/>
      <c r="R42" s="311"/>
      <c r="W42" s="61"/>
      <c r="X42" s="62"/>
    </row>
    <row r="43" spans="2:24" x14ac:dyDescent="0.25">
      <c r="B43" s="309"/>
      <c r="C43" s="310"/>
      <c r="D43" s="310"/>
      <c r="E43" s="310"/>
      <c r="F43" s="310"/>
      <c r="G43" s="310"/>
      <c r="H43" s="310"/>
      <c r="I43" s="310"/>
      <c r="J43" s="310"/>
      <c r="K43" s="310"/>
      <c r="L43" s="310"/>
      <c r="M43" s="310"/>
      <c r="N43" s="310"/>
      <c r="O43" s="310"/>
      <c r="P43" s="310"/>
      <c r="Q43" s="310"/>
      <c r="R43" s="311"/>
      <c r="W43" s="61"/>
      <c r="X43" s="62"/>
    </row>
    <row r="44" spans="2:24" x14ac:dyDescent="0.25">
      <c r="B44" s="309"/>
      <c r="C44" s="310"/>
      <c r="D44" s="310"/>
      <c r="E44" s="310"/>
      <c r="F44" s="310"/>
      <c r="G44" s="310"/>
      <c r="H44" s="310"/>
      <c r="I44" s="310"/>
      <c r="J44" s="310"/>
      <c r="K44" s="310"/>
      <c r="L44" s="310"/>
      <c r="M44" s="310"/>
      <c r="N44" s="310"/>
      <c r="O44" s="310"/>
      <c r="P44" s="310"/>
      <c r="Q44" s="310"/>
      <c r="R44" s="311"/>
      <c r="W44" s="61"/>
      <c r="X44" s="62"/>
    </row>
    <row r="45" spans="2:24" ht="15.75" thickBot="1" x14ac:dyDescent="0.3">
      <c r="B45" s="312"/>
      <c r="C45" s="313"/>
      <c r="D45" s="313"/>
      <c r="E45" s="313"/>
      <c r="F45" s="313"/>
      <c r="G45" s="313"/>
      <c r="H45" s="313"/>
      <c r="I45" s="313"/>
      <c r="J45" s="313"/>
      <c r="K45" s="313"/>
      <c r="L45" s="313"/>
      <c r="M45" s="313"/>
      <c r="N45" s="313"/>
      <c r="O45" s="313"/>
      <c r="P45" s="313"/>
      <c r="Q45" s="313"/>
      <c r="R45" s="314"/>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40B7-24BE-455C-99CB-E5F6E93C3136}">
  <dimension ref="A1:X63"/>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294</v>
      </c>
      <c r="D3" s="316"/>
      <c r="E3" s="316"/>
      <c r="F3" s="316"/>
      <c r="G3" s="316"/>
      <c r="H3" s="316"/>
      <c r="I3" s="316"/>
      <c r="J3" s="316"/>
      <c r="K3" s="316"/>
      <c r="L3" s="316"/>
      <c r="M3" s="316"/>
      <c r="N3" s="316"/>
      <c r="O3" s="316"/>
      <c r="P3" s="316"/>
      <c r="Q3" s="316"/>
      <c r="R3" s="316"/>
      <c r="S3" s="316"/>
      <c r="T3" s="65"/>
      <c r="U3" s="66"/>
    </row>
    <row r="4" spans="1:24" ht="15.75" x14ac:dyDescent="0.25">
      <c r="B4" s="64"/>
      <c r="C4" s="67" t="s">
        <v>377</v>
      </c>
      <c r="D4" s="29"/>
      <c r="E4" s="29"/>
      <c r="F4" s="29"/>
      <c r="G4" s="29"/>
      <c r="H4" s="29"/>
      <c r="I4" s="29"/>
      <c r="J4" s="29"/>
      <c r="K4" s="29"/>
      <c r="L4" s="29"/>
      <c r="M4" s="29"/>
      <c r="N4" s="29"/>
      <c r="O4" s="29"/>
      <c r="P4" s="29"/>
      <c r="Q4" s="29"/>
      <c r="R4" s="29"/>
      <c r="S4" s="29"/>
      <c r="T4" s="29"/>
      <c r="U4" s="25"/>
    </row>
    <row r="5" spans="1:24" ht="20.25" x14ac:dyDescent="0.25">
      <c r="B5" s="64"/>
      <c r="C5" s="211" t="s">
        <v>378</v>
      </c>
      <c r="D5" s="319" t="s">
        <v>425</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283</v>
      </c>
      <c r="D8" s="185" t="s">
        <v>108</v>
      </c>
      <c r="E8" s="186">
        <v>6.0361999999999999E-2</v>
      </c>
      <c r="F8" s="29"/>
      <c r="G8" s="29"/>
      <c r="H8" s="29"/>
      <c r="I8" s="29"/>
      <c r="J8" s="29"/>
      <c r="K8" s="29"/>
      <c r="L8" s="29"/>
      <c r="M8" s="29"/>
      <c r="N8" s="29"/>
      <c r="O8" s="29"/>
      <c r="P8" s="29"/>
      <c r="Q8" s="29"/>
      <c r="R8" s="29"/>
      <c r="S8" s="29"/>
      <c r="T8" s="29"/>
      <c r="U8" s="25"/>
      <c r="W8" s="173" t="s">
        <v>104</v>
      </c>
      <c r="X8" s="224">
        <v>0.15401300000000001</v>
      </c>
    </row>
    <row r="9" spans="1:24" ht="15.75" x14ac:dyDescent="0.25">
      <c r="B9" s="64"/>
      <c r="C9" s="180" t="s">
        <v>232</v>
      </c>
      <c r="D9" s="187" t="s">
        <v>82</v>
      </c>
      <c r="E9" s="188">
        <v>5.8207000000000002E-2</v>
      </c>
      <c r="F9" s="29"/>
      <c r="G9" s="29"/>
      <c r="H9" s="29"/>
      <c r="I9" s="29"/>
      <c r="J9" s="29"/>
      <c r="K9" s="29"/>
      <c r="L9" s="29"/>
      <c r="M9" s="29"/>
      <c r="N9" s="29"/>
      <c r="O9" s="29"/>
      <c r="P9" s="29"/>
      <c r="Q9" s="29"/>
      <c r="R9" s="29"/>
      <c r="S9" s="29"/>
      <c r="T9" s="29"/>
      <c r="U9" s="25"/>
      <c r="W9" s="173" t="s">
        <v>108</v>
      </c>
      <c r="X9" s="224">
        <v>0.14144099999999998</v>
      </c>
    </row>
    <row r="10" spans="1:24" ht="15.75" x14ac:dyDescent="0.25">
      <c r="B10" s="64"/>
      <c r="C10" s="180" t="s">
        <v>117</v>
      </c>
      <c r="D10" s="187" t="s">
        <v>109</v>
      </c>
      <c r="E10" s="188">
        <v>5.3772E-2</v>
      </c>
      <c r="F10" s="29"/>
      <c r="G10" s="29"/>
      <c r="H10" s="29"/>
      <c r="I10" s="29"/>
      <c r="J10" s="29"/>
      <c r="K10" s="29"/>
      <c r="L10" s="29"/>
      <c r="M10" s="29"/>
      <c r="N10" s="29"/>
      <c r="O10" s="29"/>
      <c r="P10" s="29"/>
      <c r="Q10" s="29"/>
      <c r="R10" s="29"/>
      <c r="S10" s="29"/>
      <c r="T10" s="29"/>
      <c r="U10" s="25"/>
      <c r="W10" s="173" t="s">
        <v>26</v>
      </c>
      <c r="X10" s="224">
        <v>0.12740500000000002</v>
      </c>
    </row>
    <row r="11" spans="1:24" ht="15.75" x14ac:dyDescent="0.25">
      <c r="B11" s="64"/>
      <c r="C11" s="180" t="s">
        <v>184</v>
      </c>
      <c r="D11" s="187" t="s">
        <v>104</v>
      </c>
      <c r="E11" s="188">
        <v>4.9799999999999997E-2</v>
      </c>
      <c r="F11" s="29"/>
      <c r="G11" s="29"/>
      <c r="H11" s="29"/>
      <c r="I11" s="29"/>
      <c r="J11" s="29"/>
      <c r="K11" s="29"/>
      <c r="L11" s="29"/>
      <c r="M11" s="29"/>
      <c r="N11" s="29"/>
      <c r="O11" s="29"/>
      <c r="P11" s="29"/>
      <c r="Q11" s="29"/>
      <c r="R11" s="29"/>
      <c r="S11" s="29"/>
      <c r="T11" s="29"/>
      <c r="U11" s="25"/>
      <c r="W11" s="173" t="s">
        <v>82</v>
      </c>
      <c r="X11" s="224">
        <v>0.11445000000000001</v>
      </c>
    </row>
    <row r="12" spans="1:24" ht="15.75" x14ac:dyDescent="0.25">
      <c r="B12" s="64"/>
      <c r="C12" s="180" t="s">
        <v>181</v>
      </c>
      <c r="D12" s="187" t="s">
        <v>104</v>
      </c>
      <c r="E12" s="188">
        <v>4.7370000000000002E-2</v>
      </c>
      <c r="F12" s="29"/>
      <c r="G12" s="29"/>
      <c r="H12" s="29"/>
      <c r="I12" s="29"/>
      <c r="J12" s="29"/>
      <c r="K12" s="29"/>
      <c r="L12" s="29"/>
      <c r="M12" s="29"/>
      <c r="N12" s="29"/>
      <c r="O12" s="29"/>
      <c r="P12" s="29"/>
      <c r="Q12" s="29"/>
      <c r="R12" s="29"/>
      <c r="S12" s="29"/>
      <c r="T12" s="29"/>
      <c r="U12" s="25"/>
      <c r="W12" s="173" t="s">
        <v>16</v>
      </c>
      <c r="X12" s="224">
        <v>8.8210000000000011E-2</v>
      </c>
    </row>
    <row r="13" spans="1:24" ht="15.75" x14ac:dyDescent="0.25">
      <c r="B13" s="64"/>
      <c r="C13" s="180" t="s">
        <v>367</v>
      </c>
      <c r="D13" s="187" t="s">
        <v>26</v>
      </c>
      <c r="E13" s="188">
        <v>4.6882E-2</v>
      </c>
      <c r="F13" s="29"/>
      <c r="G13" s="29"/>
      <c r="H13" s="29"/>
      <c r="I13" s="29"/>
      <c r="J13" s="29"/>
      <c r="K13" s="29"/>
      <c r="L13" s="29"/>
      <c r="M13" s="29"/>
      <c r="N13" s="29"/>
      <c r="O13" s="29"/>
      <c r="P13" s="29"/>
      <c r="Q13" s="29"/>
      <c r="R13" s="29"/>
      <c r="S13" s="29"/>
      <c r="T13" s="29"/>
      <c r="U13" s="25"/>
      <c r="W13" s="173" t="s">
        <v>109</v>
      </c>
      <c r="X13" s="224">
        <v>5.3772E-2</v>
      </c>
    </row>
    <row r="14" spans="1:24" ht="15.75" x14ac:dyDescent="0.25">
      <c r="B14" s="64"/>
      <c r="C14" s="180" t="s">
        <v>91</v>
      </c>
      <c r="D14" s="187" t="s">
        <v>81</v>
      </c>
      <c r="E14" s="188">
        <v>4.5992999999999999E-2</v>
      </c>
      <c r="F14" s="29"/>
      <c r="G14" s="29"/>
      <c r="H14" s="29"/>
      <c r="I14" s="29"/>
      <c r="J14" s="29"/>
      <c r="K14" s="29"/>
      <c r="L14" s="29"/>
      <c r="M14" s="29"/>
      <c r="N14" s="29"/>
      <c r="O14" s="29"/>
      <c r="P14" s="29"/>
      <c r="Q14" s="29"/>
      <c r="R14" s="29"/>
      <c r="S14" s="29"/>
      <c r="T14" s="29"/>
      <c r="U14" s="25"/>
      <c r="W14" s="173" t="s">
        <v>81</v>
      </c>
      <c r="X14" s="224">
        <v>4.5992999999999999E-2</v>
      </c>
    </row>
    <row r="15" spans="1:24" ht="15.75" x14ac:dyDescent="0.25">
      <c r="B15" s="64"/>
      <c r="C15" s="180" t="s">
        <v>226</v>
      </c>
      <c r="D15" s="187" t="s">
        <v>16</v>
      </c>
      <c r="E15" s="188">
        <v>4.3797000000000003E-2</v>
      </c>
      <c r="F15" s="29"/>
      <c r="G15" s="29"/>
      <c r="H15" s="29"/>
      <c r="I15" s="29"/>
      <c r="J15" s="29"/>
      <c r="K15" s="29"/>
      <c r="L15" s="29"/>
      <c r="M15" s="29"/>
      <c r="N15" s="29"/>
      <c r="O15" s="29"/>
      <c r="P15" s="29"/>
      <c r="Q15" s="29"/>
      <c r="R15" s="29"/>
      <c r="S15" s="29"/>
      <c r="T15" s="29"/>
      <c r="U15" s="25"/>
      <c r="W15" s="173" t="s">
        <v>103</v>
      </c>
      <c r="X15" s="224">
        <v>3.8553000000000004E-2</v>
      </c>
    </row>
    <row r="16" spans="1:24" ht="15.75" x14ac:dyDescent="0.25">
      <c r="B16" s="64"/>
      <c r="C16" s="180" t="s">
        <v>135</v>
      </c>
      <c r="D16" s="187" t="s">
        <v>26</v>
      </c>
      <c r="E16" s="188">
        <v>4.2930000000000003E-2</v>
      </c>
      <c r="F16" s="29"/>
      <c r="G16" s="29"/>
      <c r="H16" s="29"/>
      <c r="I16" s="29"/>
      <c r="J16" s="29"/>
      <c r="K16" s="29"/>
      <c r="L16" s="29"/>
      <c r="M16" s="29"/>
      <c r="N16" s="29"/>
      <c r="O16" s="29"/>
      <c r="P16" s="29"/>
      <c r="Q16" s="29"/>
      <c r="R16" s="29"/>
      <c r="S16" s="29"/>
      <c r="T16" s="29"/>
      <c r="U16" s="25"/>
      <c r="W16" s="173" t="s">
        <v>179</v>
      </c>
      <c r="X16" s="224">
        <v>3.8384000000000001E-2</v>
      </c>
    </row>
    <row r="17" spans="2:24" ht="15.75" x14ac:dyDescent="0.25">
      <c r="B17" s="64"/>
      <c r="C17" s="180" t="s">
        <v>186</v>
      </c>
      <c r="D17" s="187" t="s">
        <v>104</v>
      </c>
      <c r="E17" s="188">
        <v>4.0132000000000001E-2</v>
      </c>
      <c r="F17" s="29"/>
      <c r="G17" s="29"/>
      <c r="H17" s="29"/>
      <c r="I17" s="29"/>
      <c r="J17" s="29"/>
      <c r="K17" s="29"/>
      <c r="L17" s="29"/>
      <c r="M17" s="29"/>
      <c r="N17" s="29"/>
      <c r="O17" s="29"/>
      <c r="P17" s="29"/>
      <c r="Q17" s="29"/>
      <c r="R17" s="29"/>
      <c r="S17" s="29"/>
      <c r="T17" s="29"/>
      <c r="U17" s="25"/>
      <c r="W17" s="173" t="s">
        <v>116</v>
      </c>
      <c r="X17" s="224">
        <v>3.5303000000000001E-2</v>
      </c>
    </row>
    <row r="18" spans="2:24" ht="15.75" x14ac:dyDescent="0.25">
      <c r="B18" s="64"/>
      <c r="C18" s="180" t="s">
        <v>214</v>
      </c>
      <c r="D18" s="187" t="s">
        <v>179</v>
      </c>
      <c r="E18" s="188">
        <v>3.8384000000000001E-2</v>
      </c>
      <c r="F18" s="29"/>
      <c r="G18" s="29"/>
      <c r="H18" s="29"/>
      <c r="I18" s="29"/>
      <c r="J18" s="29"/>
      <c r="K18" s="29"/>
      <c r="L18" s="29"/>
      <c r="M18" s="29"/>
      <c r="N18" s="29"/>
      <c r="O18" s="29"/>
      <c r="P18" s="29"/>
      <c r="Q18" s="29"/>
      <c r="R18" s="29"/>
      <c r="S18" s="29"/>
      <c r="T18" s="29"/>
      <c r="U18" s="25"/>
      <c r="W18" s="173" t="s">
        <v>74</v>
      </c>
      <c r="X18" s="224">
        <v>2.2865E-2</v>
      </c>
    </row>
    <row r="19" spans="2:24" ht="15.75" x14ac:dyDescent="0.25">
      <c r="B19" s="64"/>
      <c r="C19" s="180" t="s">
        <v>222</v>
      </c>
      <c r="D19" s="187" t="s">
        <v>26</v>
      </c>
      <c r="E19" s="188">
        <v>3.7593000000000001E-2</v>
      </c>
      <c r="F19" s="29"/>
      <c r="G19" s="29"/>
      <c r="H19" s="29"/>
      <c r="I19" s="29"/>
      <c r="J19" s="29"/>
      <c r="K19" s="29"/>
      <c r="L19" s="29"/>
      <c r="M19" s="29"/>
      <c r="N19" s="29"/>
      <c r="O19" s="29"/>
      <c r="P19" s="29"/>
      <c r="Q19" s="29"/>
      <c r="R19" s="29"/>
      <c r="S19" s="29"/>
      <c r="T19" s="29"/>
      <c r="U19" s="25"/>
      <c r="W19" s="173" t="s">
        <v>134</v>
      </c>
      <c r="X19" s="224">
        <v>2.1853999999999998E-2</v>
      </c>
    </row>
    <row r="20" spans="2:24" ht="15.75" x14ac:dyDescent="0.25">
      <c r="B20" s="64"/>
      <c r="C20" s="180" t="s">
        <v>284</v>
      </c>
      <c r="D20" s="187" t="s">
        <v>108</v>
      </c>
      <c r="E20" s="188">
        <v>2.7151999999999999E-2</v>
      </c>
      <c r="F20" s="29"/>
      <c r="G20" s="29"/>
      <c r="H20" s="29"/>
      <c r="I20" s="29"/>
      <c r="J20" s="29"/>
      <c r="K20" s="29"/>
      <c r="L20" s="29"/>
      <c r="M20" s="29"/>
      <c r="N20" s="29"/>
      <c r="O20" s="29"/>
      <c r="P20" s="29"/>
      <c r="Q20" s="29"/>
      <c r="R20" s="29"/>
      <c r="S20" s="29"/>
      <c r="T20" s="29"/>
      <c r="U20" s="25"/>
      <c r="W20" s="173" t="s">
        <v>113</v>
      </c>
      <c r="X20" s="224">
        <v>2.0486000000000001E-2</v>
      </c>
    </row>
    <row r="21" spans="2:24" ht="15.75" x14ac:dyDescent="0.25">
      <c r="B21" s="64"/>
      <c r="C21" s="180" t="s">
        <v>321</v>
      </c>
      <c r="D21" s="187" t="s">
        <v>103</v>
      </c>
      <c r="E21" s="188">
        <v>2.5755E-2</v>
      </c>
      <c r="F21" s="29"/>
      <c r="G21" s="29"/>
      <c r="H21" s="29"/>
      <c r="I21" s="29"/>
      <c r="J21" s="29"/>
      <c r="K21" s="29"/>
      <c r="L21" s="29"/>
      <c r="M21" s="29"/>
      <c r="N21" s="29"/>
      <c r="O21" s="29"/>
      <c r="P21" s="29"/>
      <c r="Q21" s="29"/>
      <c r="R21" s="29"/>
      <c r="S21" s="29"/>
      <c r="T21" s="29"/>
      <c r="U21" s="25"/>
      <c r="W21" s="173" t="s">
        <v>115</v>
      </c>
      <c r="X21" s="224">
        <v>1.5257E-2</v>
      </c>
    </row>
    <row r="22" spans="2:24" ht="15.75" x14ac:dyDescent="0.25">
      <c r="B22" s="64"/>
      <c r="C22" s="180" t="s">
        <v>205</v>
      </c>
      <c r="D22" s="187" t="s">
        <v>82</v>
      </c>
      <c r="E22" s="188">
        <v>2.3338000000000001E-2</v>
      </c>
      <c r="F22" s="29"/>
      <c r="G22" s="29"/>
      <c r="H22" s="29"/>
      <c r="I22" s="29"/>
      <c r="J22" s="29"/>
      <c r="K22" s="29"/>
      <c r="L22" s="29"/>
      <c r="M22" s="29"/>
      <c r="N22" s="29"/>
      <c r="O22" s="29"/>
      <c r="P22" s="29"/>
      <c r="Q22" s="29"/>
      <c r="R22" s="29"/>
      <c r="S22" s="29"/>
      <c r="T22" s="29"/>
      <c r="U22" s="25"/>
      <c r="W22" s="173" t="s">
        <v>13</v>
      </c>
      <c r="X22" s="224">
        <v>1.1622E-2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143</v>
      </c>
      <c r="X23" s="224">
        <v>1.1086E-2</v>
      </c>
    </row>
    <row r="24" spans="2:24" ht="15.75" x14ac:dyDescent="0.25">
      <c r="B24" s="64"/>
      <c r="C24" s="73" t="s">
        <v>55</v>
      </c>
      <c r="D24" s="74"/>
      <c r="E24" s="75">
        <f>SUM(E8:E22)</f>
        <v>0.64146700000000001</v>
      </c>
      <c r="F24" s="29"/>
      <c r="G24" s="29"/>
      <c r="H24" s="29"/>
      <c r="I24" s="29"/>
      <c r="J24" s="29"/>
      <c r="K24" s="29"/>
      <c r="L24" s="29"/>
      <c r="M24" s="29"/>
      <c r="N24" s="29"/>
      <c r="O24" s="29"/>
      <c r="P24" s="29"/>
      <c r="Q24" s="29"/>
      <c r="R24" s="29"/>
      <c r="S24" s="29"/>
      <c r="T24" s="29"/>
      <c r="U24" s="25"/>
      <c r="W24" s="173" t="s">
        <v>4</v>
      </c>
      <c r="X24" s="224">
        <v>1.0708000000000001E-2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123</v>
      </c>
      <c r="X25" s="224">
        <v>9.3299999999999998E-3</v>
      </c>
    </row>
    <row r="26" spans="2:24" x14ac:dyDescent="0.25">
      <c r="B26" s="64"/>
      <c r="C26" s="29"/>
      <c r="D26" s="29"/>
      <c r="E26" s="29"/>
      <c r="F26" s="29"/>
      <c r="G26" s="29"/>
      <c r="H26" s="29"/>
      <c r="I26" s="29"/>
      <c r="J26" s="29"/>
      <c r="K26" s="29"/>
      <c r="L26" s="29"/>
      <c r="M26" s="29"/>
      <c r="N26" s="29"/>
      <c r="O26" s="29"/>
      <c r="P26" s="29"/>
      <c r="Q26" s="29"/>
      <c r="R26" s="29"/>
      <c r="S26" s="29"/>
      <c r="T26" s="29"/>
      <c r="U26" s="25"/>
      <c r="W26" s="173" t="s">
        <v>15</v>
      </c>
      <c r="X26" s="224">
        <v>9.2910000000000006E-3</v>
      </c>
    </row>
    <row r="27" spans="2:24" x14ac:dyDescent="0.25">
      <c r="B27" s="64"/>
      <c r="C27" s="29"/>
      <c r="D27" s="29"/>
      <c r="E27" s="29"/>
      <c r="F27" s="29"/>
      <c r="G27" s="29"/>
      <c r="H27" s="29"/>
      <c r="I27" s="29"/>
      <c r="J27" s="29"/>
      <c r="K27" s="29"/>
      <c r="L27" s="29"/>
      <c r="M27" s="29"/>
      <c r="N27" s="29"/>
      <c r="O27" s="29"/>
      <c r="P27" s="29"/>
      <c r="Q27" s="29"/>
      <c r="R27" s="29"/>
      <c r="S27" s="29"/>
      <c r="T27" s="29"/>
      <c r="U27" s="25"/>
      <c r="W27" s="61" t="s">
        <v>125</v>
      </c>
      <c r="X27" s="62">
        <v>7.3229999999999996E-3</v>
      </c>
    </row>
    <row r="28" spans="2:24" x14ac:dyDescent="0.25">
      <c r="B28" s="64"/>
      <c r="C28" s="29"/>
      <c r="D28" s="29"/>
      <c r="E28" s="29"/>
      <c r="F28" s="29"/>
      <c r="G28" s="29"/>
      <c r="H28" s="29"/>
      <c r="I28" s="29"/>
      <c r="J28" s="29"/>
      <c r="K28" s="29"/>
      <c r="L28" s="29"/>
      <c r="M28" s="29"/>
      <c r="N28" s="29"/>
      <c r="O28" s="29"/>
      <c r="P28" s="29"/>
      <c r="Q28" s="29"/>
      <c r="R28" s="29"/>
      <c r="S28" s="29"/>
      <c r="T28" s="29"/>
      <c r="U28" s="25"/>
      <c r="W28" s="61" t="s">
        <v>23</v>
      </c>
      <c r="X28" s="62">
        <v>6.1209999999999997E-3</v>
      </c>
    </row>
    <row r="29" spans="2:24" x14ac:dyDescent="0.25">
      <c r="B29" s="64"/>
      <c r="C29" s="29"/>
      <c r="D29" s="29"/>
      <c r="E29" s="29"/>
      <c r="F29" s="29"/>
      <c r="G29" s="29"/>
      <c r="H29" s="29"/>
      <c r="I29" s="29"/>
      <c r="J29" s="29"/>
      <c r="K29" s="29"/>
      <c r="L29" s="29"/>
      <c r="M29" s="29"/>
      <c r="N29" s="29"/>
      <c r="O29" s="29"/>
      <c r="P29" s="29"/>
      <c r="Q29" s="29"/>
      <c r="R29" s="29"/>
      <c r="S29" s="29"/>
      <c r="T29" s="29"/>
      <c r="U29" s="25"/>
      <c r="W29" s="61" t="s">
        <v>110</v>
      </c>
      <c r="X29" s="62">
        <v>6.051E-3</v>
      </c>
    </row>
    <row r="30" spans="2:24" x14ac:dyDescent="0.25">
      <c r="B30" s="64"/>
      <c r="C30" s="29"/>
      <c r="D30" s="29"/>
      <c r="E30" s="29"/>
      <c r="F30" s="29"/>
      <c r="G30" s="29"/>
      <c r="H30" s="29"/>
      <c r="I30" s="29"/>
      <c r="J30" s="29"/>
      <c r="K30" s="29"/>
      <c r="L30" s="29"/>
      <c r="M30" s="29"/>
      <c r="N30" s="29"/>
      <c r="O30" s="29"/>
      <c r="P30" s="29"/>
      <c r="Q30" s="29"/>
      <c r="R30" s="29"/>
      <c r="S30" s="29"/>
      <c r="T30" s="29"/>
      <c r="U30" s="25"/>
      <c r="W30" s="61" t="s">
        <v>208</v>
      </c>
      <c r="X30" s="62">
        <v>5.1000000000000004E-3</v>
      </c>
    </row>
    <row r="31" spans="2:24" x14ac:dyDescent="0.25">
      <c r="B31" s="64"/>
      <c r="C31" s="29"/>
      <c r="D31" s="29"/>
      <c r="E31" s="29"/>
      <c r="F31" s="29"/>
      <c r="G31" s="29"/>
      <c r="H31" s="29"/>
      <c r="I31" s="29"/>
      <c r="J31" s="29"/>
      <c r="K31" s="29"/>
      <c r="L31" s="29"/>
      <c r="M31" s="29"/>
      <c r="N31" s="29"/>
      <c r="O31" s="29"/>
      <c r="P31" s="29"/>
      <c r="Q31" s="29"/>
      <c r="R31" s="29"/>
      <c r="S31" s="29"/>
      <c r="T31" s="29"/>
      <c r="U31" s="25"/>
      <c r="W31" s="61" t="s">
        <v>80</v>
      </c>
      <c r="X31" s="62">
        <v>2.3509999999999998E-3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111</v>
      </c>
      <c r="X32" s="62">
        <v>2.2230000000000001E-3</v>
      </c>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306" t="s">
        <v>177</v>
      </c>
      <c r="C39" s="307"/>
      <c r="D39" s="307"/>
      <c r="E39" s="307"/>
      <c r="F39" s="307"/>
      <c r="G39" s="307"/>
      <c r="H39" s="307"/>
      <c r="I39" s="307"/>
      <c r="J39" s="307"/>
      <c r="K39" s="307"/>
      <c r="L39" s="307"/>
      <c r="M39" s="307"/>
      <c r="N39" s="307"/>
      <c r="O39" s="307"/>
      <c r="P39" s="307"/>
      <c r="Q39" s="307"/>
      <c r="R39" s="308"/>
      <c r="W39" s="61"/>
      <c r="X39" s="62"/>
    </row>
    <row r="40" spans="2:24" x14ac:dyDescent="0.25">
      <c r="B40" s="309"/>
      <c r="C40" s="310"/>
      <c r="D40" s="310"/>
      <c r="E40" s="310"/>
      <c r="F40" s="310"/>
      <c r="G40" s="310"/>
      <c r="H40" s="310"/>
      <c r="I40" s="310"/>
      <c r="J40" s="310"/>
      <c r="K40" s="310"/>
      <c r="L40" s="310"/>
      <c r="M40" s="310"/>
      <c r="N40" s="310"/>
      <c r="O40" s="310"/>
      <c r="P40" s="310"/>
      <c r="Q40" s="310"/>
      <c r="R40" s="311"/>
      <c r="W40" s="61"/>
      <c r="X40" s="62"/>
    </row>
    <row r="41" spans="2:24" x14ac:dyDescent="0.25">
      <c r="B41" s="309"/>
      <c r="C41" s="310"/>
      <c r="D41" s="310"/>
      <c r="E41" s="310"/>
      <c r="F41" s="310"/>
      <c r="G41" s="310"/>
      <c r="H41" s="310"/>
      <c r="I41" s="310"/>
      <c r="J41" s="310"/>
      <c r="K41" s="310"/>
      <c r="L41" s="310"/>
      <c r="M41" s="310"/>
      <c r="N41" s="310"/>
      <c r="O41" s="310"/>
      <c r="P41" s="310"/>
      <c r="Q41" s="310"/>
      <c r="R41" s="311"/>
      <c r="W41" s="61"/>
      <c r="X41" s="62"/>
    </row>
    <row r="42" spans="2:24" x14ac:dyDescent="0.25">
      <c r="B42" s="309"/>
      <c r="C42" s="310"/>
      <c r="D42" s="310"/>
      <c r="E42" s="310"/>
      <c r="F42" s="310"/>
      <c r="G42" s="310"/>
      <c r="H42" s="310"/>
      <c r="I42" s="310"/>
      <c r="J42" s="310"/>
      <c r="K42" s="310"/>
      <c r="L42" s="310"/>
      <c r="M42" s="310"/>
      <c r="N42" s="310"/>
      <c r="O42" s="310"/>
      <c r="P42" s="310"/>
      <c r="Q42" s="310"/>
      <c r="R42" s="311"/>
      <c r="W42" s="61"/>
      <c r="X42" s="62"/>
    </row>
    <row r="43" spans="2:24" x14ac:dyDescent="0.25">
      <c r="B43" s="309"/>
      <c r="C43" s="310"/>
      <c r="D43" s="310"/>
      <c r="E43" s="310"/>
      <c r="F43" s="310"/>
      <c r="G43" s="310"/>
      <c r="H43" s="310"/>
      <c r="I43" s="310"/>
      <c r="J43" s="310"/>
      <c r="K43" s="310"/>
      <c r="L43" s="310"/>
      <c r="M43" s="310"/>
      <c r="N43" s="310"/>
      <c r="O43" s="310"/>
      <c r="P43" s="310"/>
      <c r="Q43" s="310"/>
      <c r="R43" s="311"/>
      <c r="W43" s="61"/>
      <c r="X43" s="62"/>
    </row>
    <row r="44" spans="2:24" x14ac:dyDescent="0.25">
      <c r="B44" s="309"/>
      <c r="C44" s="310"/>
      <c r="D44" s="310"/>
      <c r="E44" s="310"/>
      <c r="F44" s="310"/>
      <c r="G44" s="310"/>
      <c r="H44" s="310"/>
      <c r="I44" s="310"/>
      <c r="J44" s="310"/>
      <c r="K44" s="310"/>
      <c r="L44" s="310"/>
      <c r="M44" s="310"/>
      <c r="N44" s="310"/>
      <c r="O44" s="310"/>
      <c r="P44" s="310"/>
      <c r="Q44" s="310"/>
      <c r="R44" s="311"/>
      <c r="W44" s="61"/>
      <c r="X44" s="62"/>
    </row>
    <row r="45" spans="2:24" ht="15.75" thickBot="1" x14ac:dyDescent="0.3">
      <c r="B45" s="312"/>
      <c r="C45" s="313"/>
      <c r="D45" s="313"/>
      <c r="E45" s="313"/>
      <c r="F45" s="313"/>
      <c r="G45" s="313"/>
      <c r="H45" s="313"/>
      <c r="I45" s="313"/>
      <c r="J45" s="313"/>
      <c r="K45" s="313"/>
      <c r="L45" s="313"/>
      <c r="M45" s="313"/>
      <c r="N45" s="313"/>
      <c r="O45" s="313"/>
      <c r="P45" s="313"/>
      <c r="Q45" s="313"/>
      <c r="R45" s="314"/>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1A656-699F-49FA-AFEA-3B9C620C7EA4}">
  <dimension ref="A1:X63"/>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318</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426</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272</v>
      </c>
      <c r="D8" s="185" t="s">
        <v>105</v>
      </c>
      <c r="E8" s="186">
        <v>5.6631000000000001E-2</v>
      </c>
      <c r="F8" s="29"/>
      <c r="G8" s="29"/>
      <c r="H8" s="29"/>
      <c r="I8" s="29"/>
      <c r="J8" s="29"/>
      <c r="K8" s="29"/>
      <c r="L8" s="29"/>
      <c r="M8" s="29"/>
      <c r="N8" s="29"/>
      <c r="O8" s="29"/>
      <c r="P8" s="29"/>
      <c r="Q8" s="29"/>
      <c r="R8" s="29"/>
      <c r="S8" s="29"/>
      <c r="T8" s="29"/>
      <c r="U8" s="25"/>
      <c r="W8" s="173" t="s">
        <v>104</v>
      </c>
      <c r="X8" s="224">
        <v>0.23480999999999996</v>
      </c>
    </row>
    <row r="9" spans="1:24" ht="15.75" x14ac:dyDescent="0.25">
      <c r="B9" s="64"/>
      <c r="C9" s="180" t="s">
        <v>126</v>
      </c>
      <c r="D9" s="187" t="s">
        <v>84</v>
      </c>
      <c r="E9" s="188">
        <v>5.4262999999999999E-2</v>
      </c>
      <c r="F9" s="29"/>
      <c r="G9" s="29"/>
      <c r="H9" s="29"/>
      <c r="I9" s="29"/>
      <c r="J9" s="29"/>
      <c r="K9" s="29"/>
      <c r="L9" s="29"/>
      <c r="M9" s="29"/>
      <c r="N9" s="29"/>
      <c r="O9" s="29"/>
      <c r="P9" s="29"/>
      <c r="Q9" s="29"/>
      <c r="R9" s="29"/>
      <c r="S9" s="29"/>
      <c r="T9" s="29"/>
      <c r="U9" s="25"/>
      <c r="W9" s="173" t="s">
        <v>105</v>
      </c>
      <c r="X9" s="224">
        <v>0.105486</v>
      </c>
    </row>
    <row r="10" spans="1:24" ht="15.75" x14ac:dyDescent="0.25">
      <c r="B10" s="64"/>
      <c r="C10" s="180" t="s">
        <v>37</v>
      </c>
      <c r="D10" s="187" t="s">
        <v>114</v>
      </c>
      <c r="E10" s="188">
        <v>5.1152000000000003E-2</v>
      </c>
      <c r="F10" s="29"/>
      <c r="G10" s="29"/>
      <c r="H10" s="29"/>
      <c r="I10" s="29"/>
      <c r="J10" s="29"/>
      <c r="K10" s="29"/>
      <c r="L10" s="29"/>
      <c r="M10" s="29"/>
      <c r="N10" s="29"/>
      <c r="O10" s="29"/>
      <c r="P10" s="29"/>
      <c r="Q10" s="29"/>
      <c r="R10" s="29"/>
      <c r="S10" s="29"/>
      <c r="T10" s="29"/>
      <c r="U10" s="25"/>
      <c r="W10" s="173" t="s">
        <v>114</v>
      </c>
      <c r="X10" s="224">
        <v>9.5691999999999999E-2</v>
      </c>
    </row>
    <row r="11" spans="1:24" ht="15.75" x14ac:dyDescent="0.25">
      <c r="B11" s="64"/>
      <c r="C11" s="180" t="s">
        <v>195</v>
      </c>
      <c r="D11" s="187" t="s">
        <v>128</v>
      </c>
      <c r="E11" s="188">
        <v>5.1020999999999997E-2</v>
      </c>
      <c r="F11" s="29"/>
      <c r="G11" s="29"/>
      <c r="H11" s="29"/>
      <c r="I11" s="29"/>
      <c r="J11" s="29"/>
      <c r="K11" s="29"/>
      <c r="L11" s="29"/>
      <c r="M11" s="29"/>
      <c r="N11" s="29"/>
      <c r="O11" s="29"/>
      <c r="P11" s="29"/>
      <c r="Q11" s="29"/>
      <c r="R11" s="29"/>
      <c r="S11" s="29"/>
      <c r="T11" s="29"/>
      <c r="U11" s="25"/>
      <c r="W11" s="173" t="s">
        <v>84</v>
      </c>
      <c r="X11" s="224">
        <v>9.3462999999999991E-2</v>
      </c>
    </row>
    <row r="12" spans="1:24" ht="15.75" x14ac:dyDescent="0.25">
      <c r="B12" s="64"/>
      <c r="C12" s="180" t="s">
        <v>85</v>
      </c>
      <c r="D12" s="187" t="s">
        <v>105</v>
      </c>
      <c r="E12" s="188">
        <v>4.8855000000000003E-2</v>
      </c>
      <c r="F12" s="29"/>
      <c r="G12" s="29"/>
      <c r="H12" s="29"/>
      <c r="I12" s="29"/>
      <c r="J12" s="29"/>
      <c r="K12" s="29"/>
      <c r="L12" s="29"/>
      <c r="M12" s="29"/>
      <c r="N12" s="29"/>
      <c r="O12" s="29"/>
      <c r="P12" s="29"/>
      <c r="Q12" s="29"/>
      <c r="R12" s="29"/>
      <c r="S12" s="29"/>
      <c r="T12" s="29"/>
      <c r="U12" s="25"/>
      <c r="W12" s="173" t="s">
        <v>109</v>
      </c>
      <c r="X12" s="224">
        <v>6.7283000000000009E-2</v>
      </c>
    </row>
    <row r="13" spans="1:24" ht="15.75" x14ac:dyDescent="0.25">
      <c r="B13" s="64"/>
      <c r="C13" s="180" t="s">
        <v>30</v>
      </c>
      <c r="D13" s="187" t="s">
        <v>114</v>
      </c>
      <c r="E13" s="188">
        <v>4.4540000000000003E-2</v>
      </c>
      <c r="F13" s="29"/>
      <c r="G13" s="29"/>
      <c r="H13" s="29"/>
      <c r="I13" s="29"/>
      <c r="J13" s="29"/>
      <c r="K13" s="29"/>
      <c r="L13" s="29"/>
      <c r="M13" s="29"/>
      <c r="N13" s="29"/>
      <c r="O13" s="29"/>
      <c r="P13" s="29"/>
      <c r="Q13" s="29"/>
      <c r="R13" s="29"/>
      <c r="S13" s="29"/>
      <c r="T13" s="29"/>
      <c r="U13" s="25"/>
      <c r="W13" s="173" t="s">
        <v>16</v>
      </c>
      <c r="X13" s="224">
        <v>6.2868999999999994E-2</v>
      </c>
    </row>
    <row r="14" spans="1:24" ht="15.75" x14ac:dyDescent="0.25">
      <c r="B14" s="64"/>
      <c r="C14" s="180" t="s">
        <v>185</v>
      </c>
      <c r="D14" s="187" t="s">
        <v>104</v>
      </c>
      <c r="E14" s="188">
        <v>4.3751999999999999E-2</v>
      </c>
      <c r="F14" s="29"/>
      <c r="G14" s="29"/>
      <c r="H14" s="29"/>
      <c r="I14" s="29"/>
      <c r="J14" s="29"/>
      <c r="K14" s="29"/>
      <c r="L14" s="29"/>
      <c r="M14" s="29"/>
      <c r="N14" s="29"/>
      <c r="O14" s="29"/>
      <c r="P14" s="29"/>
      <c r="Q14" s="29"/>
      <c r="R14" s="29"/>
      <c r="S14" s="29"/>
      <c r="T14" s="29"/>
      <c r="U14" s="25"/>
      <c r="W14" s="173" t="s">
        <v>118</v>
      </c>
      <c r="X14" s="224">
        <v>5.8262999999999995E-2</v>
      </c>
    </row>
    <row r="15" spans="1:24" ht="15.75" x14ac:dyDescent="0.25">
      <c r="B15" s="64"/>
      <c r="C15" s="180" t="s">
        <v>229</v>
      </c>
      <c r="D15" s="187" t="s">
        <v>16</v>
      </c>
      <c r="E15" s="188">
        <v>4.2340999999999997E-2</v>
      </c>
      <c r="F15" s="29"/>
      <c r="G15" s="29"/>
      <c r="H15" s="29"/>
      <c r="I15" s="29"/>
      <c r="J15" s="29"/>
      <c r="K15" s="29"/>
      <c r="L15" s="29"/>
      <c r="M15" s="29"/>
      <c r="N15" s="29"/>
      <c r="O15" s="29"/>
      <c r="P15" s="29"/>
      <c r="Q15" s="29"/>
      <c r="R15" s="29"/>
      <c r="S15" s="29"/>
      <c r="T15" s="29"/>
      <c r="U15" s="25"/>
      <c r="W15" s="173" t="s">
        <v>128</v>
      </c>
      <c r="X15" s="224">
        <v>5.1020999999999997E-2</v>
      </c>
    </row>
    <row r="16" spans="1:24" ht="15.75" x14ac:dyDescent="0.25">
      <c r="B16" s="64"/>
      <c r="C16" s="180" t="s">
        <v>33</v>
      </c>
      <c r="D16" s="187" t="s">
        <v>104</v>
      </c>
      <c r="E16" s="188">
        <v>4.2206E-2</v>
      </c>
      <c r="F16" s="29"/>
      <c r="G16" s="29"/>
      <c r="H16" s="29"/>
      <c r="I16" s="29"/>
      <c r="J16" s="29"/>
      <c r="K16" s="29"/>
      <c r="L16" s="29"/>
      <c r="M16" s="29"/>
      <c r="N16" s="29"/>
      <c r="O16" s="29"/>
      <c r="P16" s="29"/>
      <c r="Q16" s="29"/>
      <c r="R16" s="29"/>
      <c r="S16" s="29"/>
      <c r="T16" s="29"/>
      <c r="U16" s="25"/>
      <c r="W16" s="173" t="s">
        <v>24</v>
      </c>
      <c r="X16" s="224">
        <v>4.5110999999999998E-2</v>
      </c>
    </row>
    <row r="17" spans="2:24" ht="15.75" x14ac:dyDescent="0.25">
      <c r="B17" s="64"/>
      <c r="C17" s="180" t="s">
        <v>28</v>
      </c>
      <c r="D17" s="187" t="s">
        <v>104</v>
      </c>
      <c r="E17" s="188">
        <v>4.163E-2</v>
      </c>
      <c r="F17" s="29"/>
      <c r="G17" s="29"/>
      <c r="H17" s="29"/>
      <c r="I17" s="29"/>
      <c r="J17" s="29"/>
      <c r="K17" s="29"/>
      <c r="L17" s="29"/>
      <c r="M17" s="29"/>
      <c r="N17" s="29"/>
      <c r="O17" s="29"/>
      <c r="P17" s="29"/>
      <c r="Q17" s="29"/>
      <c r="R17" s="29"/>
      <c r="S17" s="29"/>
      <c r="T17" s="29"/>
      <c r="U17" s="25"/>
      <c r="W17" s="173" t="s">
        <v>6</v>
      </c>
      <c r="X17" s="224">
        <v>3.2495999999999997E-2</v>
      </c>
    </row>
    <row r="18" spans="2:24" ht="15.75" x14ac:dyDescent="0.25">
      <c r="B18" s="64"/>
      <c r="C18" s="180" t="s">
        <v>322</v>
      </c>
      <c r="D18" s="187" t="s">
        <v>118</v>
      </c>
      <c r="E18" s="188">
        <v>4.0606999999999997E-2</v>
      </c>
      <c r="F18" s="29"/>
      <c r="G18" s="29"/>
      <c r="H18" s="29"/>
      <c r="I18" s="29"/>
      <c r="J18" s="29"/>
      <c r="K18" s="29"/>
      <c r="L18" s="29"/>
      <c r="M18" s="29"/>
      <c r="N18" s="29"/>
      <c r="O18" s="29"/>
      <c r="P18" s="29"/>
      <c r="Q18" s="29"/>
      <c r="R18" s="29"/>
      <c r="S18" s="29"/>
      <c r="T18" s="29"/>
      <c r="U18" s="25"/>
      <c r="W18" s="173" t="s">
        <v>82</v>
      </c>
      <c r="X18" s="224">
        <v>3.0789E-2</v>
      </c>
    </row>
    <row r="19" spans="2:24" ht="15.75" x14ac:dyDescent="0.25">
      <c r="B19" s="64"/>
      <c r="C19" s="180" t="s">
        <v>146</v>
      </c>
      <c r="D19" s="187" t="s">
        <v>84</v>
      </c>
      <c r="E19" s="188">
        <v>3.9199999999999999E-2</v>
      </c>
      <c r="F19" s="29"/>
      <c r="G19" s="29"/>
      <c r="H19" s="29"/>
      <c r="I19" s="29"/>
      <c r="J19" s="29"/>
      <c r="K19" s="29"/>
      <c r="L19" s="29"/>
      <c r="M19" s="29"/>
      <c r="N19" s="29"/>
      <c r="O19" s="29"/>
      <c r="P19" s="29"/>
      <c r="Q19" s="29"/>
      <c r="R19" s="29"/>
      <c r="S19" s="29"/>
      <c r="T19" s="29"/>
      <c r="U19" s="25"/>
      <c r="W19" s="173" t="s">
        <v>112</v>
      </c>
      <c r="X19" s="224">
        <v>3.0622E-2</v>
      </c>
    </row>
    <row r="20" spans="2:24" ht="15.75" x14ac:dyDescent="0.25">
      <c r="B20" s="64"/>
      <c r="C20" s="180" t="s">
        <v>140</v>
      </c>
      <c r="D20" s="187" t="s">
        <v>109</v>
      </c>
      <c r="E20" s="188">
        <v>3.8885000000000003E-2</v>
      </c>
      <c r="F20" s="29"/>
      <c r="G20" s="29"/>
      <c r="H20" s="29"/>
      <c r="I20" s="29"/>
      <c r="J20" s="29"/>
      <c r="K20" s="29"/>
      <c r="L20" s="29"/>
      <c r="M20" s="29"/>
      <c r="N20" s="29"/>
      <c r="O20" s="29"/>
      <c r="P20" s="29"/>
      <c r="Q20" s="29"/>
      <c r="R20" s="29"/>
      <c r="S20" s="29"/>
      <c r="T20" s="29"/>
      <c r="U20" s="25"/>
      <c r="W20" s="173" t="s">
        <v>113</v>
      </c>
      <c r="X20" s="224">
        <v>2.7099000000000002E-2</v>
      </c>
    </row>
    <row r="21" spans="2:24" ht="15.75" x14ac:dyDescent="0.25">
      <c r="B21" s="64"/>
      <c r="C21" s="180" t="s">
        <v>306</v>
      </c>
      <c r="D21" s="187" t="s">
        <v>6</v>
      </c>
      <c r="E21" s="188">
        <v>3.2495999999999997E-2</v>
      </c>
      <c r="F21" s="29"/>
      <c r="G21" s="29"/>
      <c r="H21" s="29"/>
      <c r="I21" s="29"/>
      <c r="J21" s="29"/>
      <c r="K21" s="29"/>
      <c r="L21" s="29"/>
      <c r="M21" s="29"/>
      <c r="N21" s="29"/>
      <c r="O21" s="29"/>
      <c r="P21" s="29"/>
      <c r="Q21" s="29"/>
      <c r="R21" s="29"/>
      <c r="S21" s="29"/>
      <c r="T21" s="29"/>
      <c r="U21" s="25"/>
      <c r="W21" s="173" t="s">
        <v>119</v>
      </c>
      <c r="X21" s="224">
        <v>2.5600999999999999E-2</v>
      </c>
    </row>
    <row r="22" spans="2:24" ht="15.75" x14ac:dyDescent="0.25">
      <c r="B22" s="64"/>
      <c r="C22" s="180" t="s">
        <v>300</v>
      </c>
      <c r="D22" s="187" t="s">
        <v>82</v>
      </c>
      <c r="E22" s="188">
        <v>3.0789E-2</v>
      </c>
      <c r="F22" s="29"/>
      <c r="G22" s="29"/>
      <c r="H22" s="29"/>
      <c r="I22" s="29"/>
      <c r="J22" s="29"/>
      <c r="K22" s="29"/>
      <c r="L22" s="29"/>
      <c r="M22" s="29"/>
      <c r="N22" s="29"/>
      <c r="O22" s="29"/>
      <c r="P22" s="29"/>
      <c r="Q22" s="29"/>
      <c r="R22" s="29"/>
      <c r="S22" s="29"/>
      <c r="T22" s="29"/>
      <c r="U22" s="25"/>
      <c r="W22" s="173" t="s">
        <v>81</v>
      </c>
      <c r="X22" s="224">
        <v>2.3626000000000001E-2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25</v>
      </c>
      <c r="X23" s="224">
        <v>1.3879000000000001E-2</v>
      </c>
    </row>
    <row r="24" spans="2:24" ht="15.75" x14ac:dyDescent="0.25">
      <c r="B24" s="64"/>
      <c r="C24" s="73" t="s">
        <v>55</v>
      </c>
      <c r="D24" s="74"/>
      <c r="E24" s="75">
        <f>SUM(E8:E22)</f>
        <v>0.65836799999999995</v>
      </c>
      <c r="F24" s="29"/>
      <c r="G24" s="29"/>
      <c r="H24" s="29"/>
      <c r="I24" s="29"/>
      <c r="J24" s="29"/>
      <c r="K24" s="29"/>
      <c r="L24" s="29"/>
      <c r="M24" s="29"/>
      <c r="N24" s="29"/>
      <c r="O24" s="29"/>
      <c r="P24" s="29"/>
      <c r="Q24" s="29"/>
      <c r="R24" s="29"/>
      <c r="S24" s="29"/>
      <c r="T24" s="29"/>
      <c r="U24" s="25"/>
      <c r="W24" s="173"/>
      <c r="X24" s="224"/>
    </row>
    <row r="25" spans="2:24" x14ac:dyDescent="0.25">
      <c r="B25" s="64"/>
      <c r="C25" s="29"/>
      <c r="D25" s="29"/>
      <c r="E25" s="29"/>
      <c r="F25" s="29"/>
      <c r="G25" s="29"/>
      <c r="H25" s="29"/>
      <c r="I25" s="29"/>
      <c r="J25" s="29"/>
      <c r="K25" s="29"/>
      <c r="L25" s="29"/>
      <c r="M25" s="29"/>
      <c r="N25" s="29"/>
      <c r="O25" s="29"/>
      <c r="P25" s="29"/>
      <c r="Q25" s="29"/>
      <c r="R25" s="29"/>
      <c r="S25" s="29"/>
      <c r="T25" s="29"/>
      <c r="U25" s="25"/>
      <c r="W25" s="173"/>
      <c r="X25" s="224"/>
    </row>
    <row r="26" spans="2:24" x14ac:dyDescent="0.25">
      <c r="B26" s="64"/>
      <c r="C26" s="29"/>
      <c r="D26" s="29"/>
      <c r="E26" s="29"/>
      <c r="F26" s="29"/>
      <c r="G26" s="29"/>
      <c r="H26" s="29"/>
      <c r="I26" s="29"/>
      <c r="J26" s="29"/>
      <c r="K26" s="29"/>
      <c r="L26" s="29"/>
      <c r="M26" s="29"/>
      <c r="N26" s="29"/>
      <c r="O26" s="29"/>
      <c r="P26" s="29"/>
      <c r="Q26" s="29"/>
      <c r="R26" s="29"/>
      <c r="S26" s="29"/>
      <c r="T26" s="29"/>
      <c r="U26" s="25"/>
      <c r="W26" s="173"/>
      <c r="X26" s="22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306" t="s">
        <v>177</v>
      </c>
      <c r="C39" s="307"/>
      <c r="D39" s="307"/>
      <c r="E39" s="307"/>
      <c r="F39" s="307"/>
      <c r="G39" s="307"/>
      <c r="H39" s="307"/>
      <c r="I39" s="307"/>
      <c r="J39" s="307"/>
      <c r="K39" s="307"/>
      <c r="L39" s="307"/>
      <c r="M39" s="307"/>
      <c r="N39" s="307"/>
      <c r="O39" s="307"/>
      <c r="P39" s="307"/>
      <c r="Q39" s="307"/>
      <c r="R39" s="308"/>
      <c r="W39" s="61"/>
      <c r="X39" s="62"/>
    </row>
    <row r="40" spans="2:24" x14ac:dyDescent="0.25">
      <c r="B40" s="309"/>
      <c r="C40" s="310"/>
      <c r="D40" s="310"/>
      <c r="E40" s="310"/>
      <c r="F40" s="310"/>
      <c r="G40" s="310"/>
      <c r="H40" s="310"/>
      <c r="I40" s="310"/>
      <c r="J40" s="310"/>
      <c r="K40" s="310"/>
      <c r="L40" s="310"/>
      <c r="M40" s="310"/>
      <c r="N40" s="310"/>
      <c r="O40" s="310"/>
      <c r="P40" s="310"/>
      <c r="Q40" s="310"/>
      <c r="R40" s="311"/>
      <c r="W40" s="61"/>
      <c r="X40" s="62"/>
    </row>
    <row r="41" spans="2:24" x14ac:dyDescent="0.25">
      <c r="B41" s="309"/>
      <c r="C41" s="310"/>
      <c r="D41" s="310"/>
      <c r="E41" s="310"/>
      <c r="F41" s="310"/>
      <c r="G41" s="310"/>
      <c r="H41" s="310"/>
      <c r="I41" s="310"/>
      <c r="J41" s="310"/>
      <c r="K41" s="310"/>
      <c r="L41" s="310"/>
      <c r="M41" s="310"/>
      <c r="N41" s="310"/>
      <c r="O41" s="310"/>
      <c r="P41" s="310"/>
      <c r="Q41" s="310"/>
      <c r="R41" s="311"/>
      <c r="W41" s="61"/>
      <c r="X41" s="62"/>
    </row>
    <row r="42" spans="2:24" x14ac:dyDescent="0.25">
      <c r="B42" s="309"/>
      <c r="C42" s="310"/>
      <c r="D42" s="310"/>
      <c r="E42" s="310"/>
      <c r="F42" s="310"/>
      <c r="G42" s="310"/>
      <c r="H42" s="310"/>
      <c r="I42" s="310"/>
      <c r="J42" s="310"/>
      <c r="K42" s="310"/>
      <c r="L42" s="310"/>
      <c r="M42" s="310"/>
      <c r="N42" s="310"/>
      <c r="O42" s="310"/>
      <c r="P42" s="310"/>
      <c r="Q42" s="310"/>
      <c r="R42" s="311"/>
      <c r="W42" s="61"/>
      <c r="X42" s="62"/>
    </row>
    <row r="43" spans="2:24" x14ac:dyDescent="0.25">
      <c r="B43" s="309"/>
      <c r="C43" s="310"/>
      <c r="D43" s="310"/>
      <c r="E43" s="310"/>
      <c r="F43" s="310"/>
      <c r="G43" s="310"/>
      <c r="H43" s="310"/>
      <c r="I43" s="310"/>
      <c r="J43" s="310"/>
      <c r="K43" s="310"/>
      <c r="L43" s="310"/>
      <c r="M43" s="310"/>
      <c r="N43" s="310"/>
      <c r="O43" s="310"/>
      <c r="P43" s="310"/>
      <c r="Q43" s="310"/>
      <c r="R43" s="311"/>
      <c r="W43" s="61"/>
      <c r="X43" s="62"/>
    </row>
    <row r="44" spans="2:24" x14ac:dyDescent="0.25">
      <c r="B44" s="309"/>
      <c r="C44" s="310"/>
      <c r="D44" s="310"/>
      <c r="E44" s="310"/>
      <c r="F44" s="310"/>
      <c r="G44" s="310"/>
      <c r="H44" s="310"/>
      <c r="I44" s="310"/>
      <c r="J44" s="310"/>
      <c r="K44" s="310"/>
      <c r="L44" s="310"/>
      <c r="M44" s="310"/>
      <c r="N44" s="310"/>
      <c r="O44" s="310"/>
      <c r="P44" s="310"/>
      <c r="Q44" s="310"/>
      <c r="R44" s="311"/>
      <c r="W44" s="61"/>
      <c r="X44" s="62"/>
    </row>
    <row r="45" spans="2:24" ht="15.75" thickBot="1" x14ac:dyDescent="0.3">
      <c r="B45" s="312"/>
      <c r="C45" s="313"/>
      <c r="D45" s="313"/>
      <c r="E45" s="313"/>
      <c r="F45" s="313"/>
      <c r="G45" s="313"/>
      <c r="H45" s="313"/>
      <c r="I45" s="313"/>
      <c r="J45" s="313"/>
      <c r="K45" s="313"/>
      <c r="L45" s="313"/>
      <c r="M45" s="313"/>
      <c r="N45" s="313"/>
      <c r="O45" s="313"/>
      <c r="P45" s="313"/>
      <c r="Q45" s="313"/>
      <c r="R45" s="314"/>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715A1-E494-44FE-BF00-27597DB58EEA}">
  <dimension ref="A1:X63"/>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338</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427</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70</v>
      </c>
      <c r="D8" s="185" t="s">
        <v>12</v>
      </c>
      <c r="E8" s="186">
        <v>5.0601E-2</v>
      </c>
      <c r="F8" s="29"/>
      <c r="G8" s="29"/>
      <c r="H8" s="29"/>
      <c r="I8" s="29"/>
      <c r="J8" s="29"/>
      <c r="K8" s="29"/>
      <c r="L8" s="29"/>
      <c r="M8" s="29"/>
      <c r="N8" s="29"/>
      <c r="O8" s="29"/>
      <c r="P8" s="29"/>
      <c r="Q8" s="29"/>
      <c r="R8" s="29"/>
      <c r="S8" s="29"/>
      <c r="T8" s="29"/>
      <c r="U8" s="25"/>
      <c r="W8" s="173" t="s">
        <v>108</v>
      </c>
      <c r="X8" s="224">
        <v>0.21711200000000003</v>
      </c>
    </row>
    <row r="9" spans="1:24" ht="15.75" x14ac:dyDescent="0.25">
      <c r="B9" s="64"/>
      <c r="C9" s="180" t="s">
        <v>242</v>
      </c>
      <c r="D9" s="187" t="s">
        <v>108</v>
      </c>
      <c r="E9" s="188">
        <v>4.6883000000000001E-2</v>
      </c>
      <c r="F9" s="29"/>
      <c r="G9" s="29"/>
      <c r="H9" s="29"/>
      <c r="I9" s="29"/>
      <c r="J9" s="29"/>
      <c r="K9" s="29"/>
      <c r="L9" s="29"/>
      <c r="M9" s="29"/>
      <c r="N9" s="29"/>
      <c r="O9" s="29"/>
      <c r="P9" s="29"/>
      <c r="Q9" s="29"/>
      <c r="R9" s="29"/>
      <c r="S9" s="29"/>
      <c r="T9" s="29"/>
      <c r="U9" s="25"/>
      <c r="W9" s="173" t="s">
        <v>104</v>
      </c>
      <c r="X9" s="224">
        <v>0.11943300000000001</v>
      </c>
    </row>
    <row r="10" spans="1:24" ht="15.75" x14ac:dyDescent="0.25">
      <c r="B10" s="64"/>
      <c r="C10" s="180" t="s">
        <v>283</v>
      </c>
      <c r="D10" s="187" t="s">
        <v>108</v>
      </c>
      <c r="E10" s="188">
        <v>4.6841000000000001E-2</v>
      </c>
      <c r="F10" s="29"/>
      <c r="G10" s="29"/>
      <c r="H10" s="29"/>
      <c r="I10" s="29"/>
      <c r="J10" s="29"/>
      <c r="K10" s="29"/>
      <c r="L10" s="29"/>
      <c r="M10" s="29"/>
      <c r="N10" s="29"/>
      <c r="O10" s="29"/>
      <c r="P10" s="29"/>
      <c r="Q10" s="29"/>
      <c r="R10" s="29"/>
      <c r="S10" s="29"/>
      <c r="T10" s="29"/>
      <c r="U10" s="25"/>
      <c r="W10" s="173" t="s">
        <v>3</v>
      </c>
      <c r="X10" s="224">
        <v>6.9626999999999994E-2</v>
      </c>
    </row>
    <row r="11" spans="1:24" ht="15.75" x14ac:dyDescent="0.25">
      <c r="B11" s="64"/>
      <c r="C11" s="180" t="s">
        <v>32</v>
      </c>
      <c r="D11" s="187" t="s">
        <v>3</v>
      </c>
      <c r="E11" s="188">
        <v>4.5552000000000002E-2</v>
      </c>
      <c r="F11" s="29"/>
      <c r="G11" s="29"/>
      <c r="H11" s="29"/>
      <c r="I11" s="29"/>
      <c r="J11" s="29"/>
      <c r="K11" s="29"/>
      <c r="L11" s="29"/>
      <c r="M11" s="29"/>
      <c r="N11" s="29"/>
      <c r="O11" s="29"/>
      <c r="P11" s="29"/>
      <c r="Q11" s="29"/>
      <c r="R11" s="29"/>
      <c r="S11" s="29"/>
      <c r="T11" s="29"/>
      <c r="U11" s="25"/>
      <c r="W11" s="173" t="s">
        <v>80</v>
      </c>
      <c r="X11" s="224">
        <v>6.3316999999999998E-2</v>
      </c>
    </row>
    <row r="12" spans="1:24" ht="15.75" x14ac:dyDescent="0.25">
      <c r="B12" s="64"/>
      <c r="C12" s="180" t="s">
        <v>337</v>
      </c>
      <c r="D12" s="187" t="s">
        <v>113</v>
      </c>
      <c r="E12" s="188">
        <v>4.0055E-2</v>
      </c>
      <c r="F12" s="29"/>
      <c r="G12" s="29"/>
      <c r="H12" s="29"/>
      <c r="I12" s="29"/>
      <c r="J12" s="29"/>
      <c r="K12" s="29"/>
      <c r="L12" s="29"/>
      <c r="M12" s="29"/>
      <c r="N12" s="29"/>
      <c r="O12" s="29"/>
      <c r="P12" s="29"/>
      <c r="Q12" s="29"/>
      <c r="R12" s="29"/>
      <c r="S12" s="29"/>
      <c r="T12" s="29"/>
      <c r="U12" s="25"/>
      <c r="W12" s="173" t="s">
        <v>109</v>
      </c>
      <c r="X12" s="224">
        <v>6.0651999999999998E-2</v>
      </c>
    </row>
    <row r="13" spans="1:24" ht="15.75" x14ac:dyDescent="0.25">
      <c r="B13" s="64"/>
      <c r="C13" s="180" t="s">
        <v>321</v>
      </c>
      <c r="D13" s="187" t="s">
        <v>103</v>
      </c>
      <c r="E13" s="188">
        <v>3.7680999999999999E-2</v>
      </c>
      <c r="F13" s="29"/>
      <c r="G13" s="29"/>
      <c r="H13" s="29"/>
      <c r="I13" s="29"/>
      <c r="J13" s="29"/>
      <c r="K13" s="29"/>
      <c r="L13" s="29"/>
      <c r="M13" s="29"/>
      <c r="N13" s="29"/>
      <c r="O13" s="29"/>
      <c r="P13" s="29"/>
      <c r="Q13" s="29"/>
      <c r="R13" s="29"/>
      <c r="S13" s="29"/>
      <c r="T13" s="29"/>
      <c r="U13" s="25"/>
      <c r="W13" s="173" t="s">
        <v>107</v>
      </c>
      <c r="X13" s="224">
        <v>5.8169999999999999E-2</v>
      </c>
    </row>
    <row r="14" spans="1:24" ht="15.75" x14ac:dyDescent="0.25">
      <c r="B14" s="64"/>
      <c r="C14" s="180" t="s">
        <v>85</v>
      </c>
      <c r="D14" s="187" t="s">
        <v>105</v>
      </c>
      <c r="E14" s="188">
        <v>3.7539000000000003E-2</v>
      </c>
      <c r="F14" s="29"/>
      <c r="G14" s="29"/>
      <c r="H14" s="29"/>
      <c r="I14" s="29"/>
      <c r="J14" s="29"/>
      <c r="K14" s="29"/>
      <c r="L14" s="29"/>
      <c r="M14" s="29"/>
      <c r="N14" s="29"/>
      <c r="O14" s="29"/>
      <c r="P14" s="29"/>
      <c r="Q14" s="29"/>
      <c r="R14" s="29"/>
      <c r="S14" s="29"/>
      <c r="T14" s="29"/>
      <c r="U14" s="25"/>
      <c r="W14" s="173" t="s">
        <v>12</v>
      </c>
      <c r="X14" s="224">
        <v>5.0601E-2</v>
      </c>
    </row>
    <row r="15" spans="1:24" ht="15.75" x14ac:dyDescent="0.25">
      <c r="B15" s="64"/>
      <c r="C15" s="180" t="s">
        <v>284</v>
      </c>
      <c r="D15" s="187" t="s">
        <v>108</v>
      </c>
      <c r="E15" s="188">
        <v>3.422E-2</v>
      </c>
      <c r="F15" s="29"/>
      <c r="G15" s="29"/>
      <c r="H15" s="29"/>
      <c r="I15" s="29"/>
      <c r="J15" s="29"/>
      <c r="K15" s="29"/>
      <c r="L15" s="29"/>
      <c r="M15" s="29"/>
      <c r="N15" s="29"/>
      <c r="O15" s="29"/>
      <c r="P15" s="29"/>
      <c r="Q15" s="29"/>
      <c r="R15" s="29"/>
      <c r="S15" s="29"/>
      <c r="T15" s="29"/>
      <c r="U15" s="25"/>
      <c r="W15" s="173" t="s">
        <v>113</v>
      </c>
      <c r="X15" s="224">
        <v>4.0055E-2</v>
      </c>
    </row>
    <row r="16" spans="1:24" ht="15.75" x14ac:dyDescent="0.25">
      <c r="B16" s="64"/>
      <c r="C16" s="180" t="s">
        <v>30</v>
      </c>
      <c r="D16" s="187" t="s">
        <v>114</v>
      </c>
      <c r="E16" s="188">
        <v>3.4194000000000002E-2</v>
      </c>
      <c r="F16" s="29"/>
      <c r="G16" s="29"/>
      <c r="H16" s="29"/>
      <c r="I16" s="29"/>
      <c r="J16" s="29"/>
      <c r="K16" s="29"/>
      <c r="L16" s="29"/>
      <c r="M16" s="29"/>
      <c r="N16" s="29"/>
      <c r="O16" s="29"/>
      <c r="P16" s="29"/>
      <c r="Q16" s="29"/>
      <c r="R16" s="29"/>
      <c r="S16" s="29"/>
      <c r="T16" s="29"/>
      <c r="U16" s="25"/>
      <c r="W16" s="173" t="s">
        <v>103</v>
      </c>
      <c r="X16" s="224">
        <v>3.7680999999999999E-2</v>
      </c>
    </row>
    <row r="17" spans="2:24" ht="15.75" x14ac:dyDescent="0.25">
      <c r="B17" s="64"/>
      <c r="C17" s="180" t="s">
        <v>277</v>
      </c>
      <c r="D17" s="187" t="s">
        <v>74</v>
      </c>
      <c r="E17" s="188">
        <v>3.3932999999999998E-2</v>
      </c>
      <c r="F17" s="29"/>
      <c r="G17" s="29"/>
      <c r="H17" s="29"/>
      <c r="I17" s="29"/>
      <c r="J17" s="29"/>
      <c r="K17" s="29"/>
      <c r="L17" s="29"/>
      <c r="M17" s="29"/>
      <c r="N17" s="29"/>
      <c r="O17" s="29"/>
      <c r="P17" s="29"/>
      <c r="Q17" s="29"/>
      <c r="R17" s="29"/>
      <c r="S17" s="29"/>
      <c r="T17" s="29"/>
      <c r="U17" s="25"/>
      <c r="W17" s="173" t="s">
        <v>105</v>
      </c>
      <c r="X17" s="224">
        <v>3.7539000000000003E-2</v>
      </c>
    </row>
    <row r="18" spans="2:24" ht="15.75" x14ac:dyDescent="0.25">
      <c r="B18" s="64"/>
      <c r="C18" s="180" t="s">
        <v>139</v>
      </c>
      <c r="D18" s="187" t="s">
        <v>108</v>
      </c>
      <c r="E18" s="188">
        <v>3.3709000000000003E-2</v>
      </c>
      <c r="F18" s="29"/>
      <c r="G18" s="29"/>
      <c r="H18" s="29"/>
      <c r="I18" s="29"/>
      <c r="J18" s="29"/>
      <c r="K18" s="29"/>
      <c r="L18" s="29"/>
      <c r="M18" s="29"/>
      <c r="N18" s="29"/>
      <c r="O18" s="29"/>
      <c r="P18" s="29"/>
      <c r="Q18" s="29"/>
      <c r="R18" s="29"/>
      <c r="S18" s="29"/>
      <c r="T18" s="29"/>
      <c r="U18" s="25"/>
      <c r="W18" s="173" t="s">
        <v>114</v>
      </c>
      <c r="X18" s="224">
        <v>3.4194000000000002E-2</v>
      </c>
    </row>
    <row r="19" spans="2:24" ht="15.75" x14ac:dyDescent="0.25">
      <c r="B19" s="64"/>
      <c r="C19" s="180" t="s">
        <v>319</v>
      </c>
      <c r="D19" s="187" t="s">
        <v>83</v>
      </c>
      <c r="E19" s="188">
        <v>3.3403000000000002E-2</v>
      </c>
      <c r="F19" s="29"/>
      <c r="G19" s="29"/>
      <c r="H19" s="29"/>
      <c r="I19" s="29"/>
      <c r="J19" s="29"/>
      <c r="K19" s="29"/>
      <c r="L19" s="29"/>
      <c r="M19" s="29"/>
      <c r="N19" s="29"/>
      <c r="O19" s="29"/>
      <c r="P19" s="29"/>
      <c r="Q19" s="29"/>
      <c r="R19" s="29"/>
      <c r="S19" s="29"/>
      <c r="T19" s="29"/>
      <c r="U19" s="25"/>
      <c r="W19" s="173" t="s">
        <v>74</v>
      </c>
      <c r="X19" s="224">
        <v>3.3932999999999998E-2</v>
      </c>
    </row>
    <row r="20" spans="2:24" ht="15.75" x14ac:dyDescent="0.25">
      <c r="B20" s="64"/>
      <c r="C20" s="180" t="s">
        <v>240</v>
      </c>
      <c r="D20" s="187" t="s">
        <v>80</v>
      </c>
      <c r="E20" s="188">
        <v>3.3089E-2</v>
      </c>
      <c r="F20" s="29"/>
      <c r="G20" s="29"/>
      <c r="H20" s="29"/>
      <c r="I20" s="29"/>
      <c r="J20" s="29"/>
      <c r="K20" s="29"/>
      <c r="L20" s="29"/>
      <c r="M20" s="29"/>
      <c r="N20" s="29"/>
      <c r="O20" s="29"/>
      <c r="P20" s="29"/>
      <c r="Q20" s="29"/>
      <c r="R20" s="29"/>
      <c r="S20" s="29"/>
      <c r="T20" s="29"/>
      <c r="U20" s="25"/>
      <c r="W20" s="173" t="s">
        <v>83</v>
      </c>
      <c r="X20" s="224">
        <v>3.3403000000000002E-2</v>
      </c>
    </row>
    <row r="21" spans="2:24" ht="15.75" x14ac:dyDescent="0.25">
      <c r="B21" s="64"/>
      <c r="C21" s="180" t="s">
        <v>185</v>
      </c>
      <c r="D21" s="187" t="s">
        <v>104</v>
      </c>
      <c r="E21" s="188">
        <v>3.1743E-2</v>
      </c>
      <c r="F21" s="29"/>
      <c r="G21" s="29"/>
      <c r="H21" s="29"/>
      <c r="I21" s="29"/>
      <c r="J21" s="29"/>
      <c r="K21" s="29"/>
      <c r="L21" s="29"/>
      <c r="M21" s="29"/>
      <c r="N21" s="29"/>
      <c r="O21" s="29"/>
      <c r="P21" s="29"/>
      <c r="Q21" s="29"/>
      <c r="R21" s="29"/>
      <c r="S21" s="29"/>
      <c r="T21" s="29"/>
      <c r="U21" s="25"/>
      <c r="W21" s="173" t="s">
        <v>16</v>
      </c>
      <c r="X21" s="224">
        <v>2.9725999999999999E-2</v>
      </c>
    </row>
    <row r="22" spans="2:24" ht="15.75" x14ac:dyDescent="0.25">
      <c r="B22" s="64"/>
      <c r="C22" s="180" t="s">
        <v>131</v>
      </c>
      <c r="D22" s="187" t="s">
        <v>109</v>
      </c>
      <c r="E22" s="188">
        <v>3.1538999999999998E-2</v>
      </c>
      <c r="F22" s="29"/>
      <c r="G22" s="29"/>
      <c r="H22" s="29"/>
      <c r="I22" s="29"/>
      <c r="J22" s="29"/>
      <c r="K22" s="29"/>
      <c r="L22" s="29"/>
      <c r="M22" s="29"/>
      <c r="N22" s="29"/>
      <c r="O22" s="29"/>
      <c r="P22" s="29"/>
      <c r="Q22" s="29"/>
      <c r="R22" s="29"/>
      <c r="S22" s="29"/>
      <c r="T22" s="29"/>
      <c r="U22" s="25"/>
      <c r="W22" s="173" t="s">
        <v>116</v>
      </c>
      <c r="X22" s="224">
        <v>2.9649000000000002E-2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118</v>
      </c>
      <c r="X23" s="224">
        <v>2.9160999999999999E-2</v>
      </c>
    </row>
    <row r="24" spans="2:24" ht="15.75" x14ac:dyDescent="0.25">
      <c r="B24" s="64"/>
      <c r="C24" s="73" t="s">
        <v>55</v>
      </c>
      <c r="D24" s="74"/>
      <c r="E24" s="75">
        <f>SUM(E8:E22)</f>
        <v>0.57098199999999999</v>
      </c>
      <c r="F24" s="29"/>
      <c r="G24" s="29"/>
      <c r="H24" s="29"/>
      <c r="I24" s="29"/>
      <c r="J24" s="29"/>
      <c r="K24" s="29"/>
      <c r="L24" s="29"/>
      <c r="M24" s="29"/>
      <c r="N24" s="29"/>
      <c r="O24" s="29"/>
      <c r="P24" s="29"/>
      <c r="Q24" s="29"/>
      <c r="R24" s="29"/>
      <c r="S24" s="29"/>
      <c r="T24" s="29"/>
      <c r="U24" s="25"/>
      <c r="W24" s="173" t="s">
        <v>24</v>
      </c>
      <c r="X24" s="224">
        <v>2.8215E-2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26</v>
      </c>
      <c r="X25" s="224">
        <v>2.6894000000000001E-2</v>
      </c>
    </row>
    <row r="26" spans="2:24" x14ac:dyDescent="0.25">
      <c r="B26" s="64"/>
      <c r="C26" s="29"/>
      <c r="D26" s="29"/>
      <c r="E26" s="29"/>
      <c r="F26" s="29"/>
      <c r="G26" s="29"/>
      <c r="H26" s="29"/>
      <c r="I26" s="29"/>
      <c r="J26" s="29"/>
      <c r="K26" s="29"/>
      <c r="L26" s="29"/>
      <c r="M26" s="29"/>
      <c r="N26" s="29"/>
      <c r="O26" s="29"/>
      <c r="P26" s="29"/>
      <c r="Q26" s="29"/>
      <c r="R26" s="29"/>
      <c r="S26" s="29"/>
      <c r="T26" s="29"/>
      <c r="U26" s="25"/>
      <c r="W26" s="173"/>
      <c r="X26" s="22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306" t="s">
        <v>177</v>
      </c>
      <c r="C39" s="307"/>
      <c r="D39" s="307"/>
      <c r="E39" s="307"/>
      <c r="F39" s="307"/>
      <c r="G39" s="307"/>
      <c r="H39" s="307"/>
      <c r="I39" s="307"/>
      <c r="J39" s="307"/>
      <c r="K39" s="307"/>
      <c r="L39" s="307"/>
      <c r="M39" s="307"/>
      <c r="N39" s="307"/>
      <c r="O39" s="307"/>
      <c r="P39" s="307"/>
      <c r="Q39" s="307"/>
      <c r="R39" s="308"/>
      <c r="W39" s="61"/>
      <c r="X39" s="62"/>
    </row>
    <row r="40" spans="2:24" x14ac:dyDescent="0.25">
      <c r="B40" s="309"/>
      <c r="C40" s="310"/>
      <c r="D40" s="310"/>
      <c r="E40" s="310"/>
      <c r="F40" s="310"/>
      <c r="G40" s="310"/>
      <c r="H40" s="310"/>
      <c r="I40" s="310"/>
      <c r="J40" s="310"/>
      <c r="K40" s="310"/>
      <c r="L40" s="310"/>
      <c r="M40" s="310"/>
      <c r="N40" s="310"/>
      <c r="O40" s="310"/>
      <c r="P40" s="310"/>
      <c r="Q40" s="310"/>
      <c r="R40" s="311"/>
      <c r="W40" s="61"/>
      <c r="X40" s="62"/>
    </row>
    <row r="41" spans="2:24" x14ac:dyDescent="0.25">
      <c r="B41" s="309"/>
      <c r="C41" s="310"/>
      <c r="D41" s="310"/>
      <c r="E41" s="310"/>
      <c r="F41" s="310"/>
      <c r="G41" s="310"/>
      <c r="H41" s="310"/>
      <c r="I41" s="310"/>
      <c r="J41" s="310"/>
      <c r="K41" s="310"/>
      <c r="L41" s="310"/>
      <c r="M41" s="310"/>
      <c r="N41" s="310"/>
      <c r="O41" s="310"/>
      <c r="P41" s="310"/>
      <c r="Q41" s="310"/>
      <c r="R41" s="311"/>
      <c r="W41" s="61"/>
      <c r="X41" s="62"/>
    </row>
    <row r="42" spans="2:24" x14ac:dyDescent="0.25">
      <c r="B42" s="309"/>
      <c r="C42" s="310"/>
      <c r="D42" s="310"/>
      <c r="E42" s="310"/>
      <c r="F42" s="310"/>
      <c r="G42" s="310"/>
      <c r="H42" s="310"/>
      <c r="I42" s="310"/>
      <c r="J42" s="310"/>
      <c r="K42" s="310"/>
      <c r="L42" s="310"/>
      <c r="M42" s="310"/>
      <c r="N42" s="310"/>
      <c r="O42" s="310"/>
      <c r="P42" s="310"/>
      <c r="Q42" s="310"/>
      <c r="R42" s="311"/>
      <c r="W42" s="61"/>
      <c r="X42" s="62"/>
    </row>
    <row r="43" spans="2:24" x14ac:dyDescent="0.25">
      <c r="B43" s="309"/>
      <c r="C43" s="310"/>
      <c r="D43" s="310"/>
      <c r="E43" s="310"/>
      <c r="F43" s="310"/>
      <c r="G43" s="310"/>
      <c r="H43" s="310"/>
      <c r="I43" s="310"/>
      <c r="J43" s="310"/>
      <c r="K43" s="310"/>
      <c r="L43" s="310"/>
      <c r="M43" s="310"/>
      <c r="N43" s="310"/>
      <c r="O43" s="310"/>
      <c r="P43" s="310"/>
      <c r="Q43" s="310"/>
      <c r="R43" s="311"/>
      <c r="W43" s="61"/>
      <c r="X43" s="62"/>
    </row>
    <row r="44" spans="2:24" x14ac:dyDescent="0.25">
      <c r="B44" s="309"/>
      <c r="C44" s="310"/>
      <c r="D44" s="310"/>
      <c r="E44" s="310"/>
      <c r="F44" s="310"/>
      <c r="G44" s="310"/>
      <c r="H44" s="310"/>
      <c r="I44" s="310"/>
      <c r="J44" s="310"/>
      <c r="K44" s="310"/>
      <c r="L44" s="310"/>
      <c r="M44" s="310"/>
      <c r="N44" s="310"/>
      <c r="O44" s="310"/>
      <c r="P44" s="310"/>
      <c r="Q44" s="310"/>
      <c r="R44" s="311"/>
      <c r="W44" s="61"/>
      <c r="X44" s="62"/>
    </row>
    <row r="45" spans="2:24" ht="15.75" thickBot="1" x14ac:dyDescent="0.3">
      <c r="B45" s="312"/>
      <c r="C45" s="313"/>
      <c r="D45" s="313"/>
      <c r="E45" s="313"/>
      <c r="F45" s="313"/>
      <c r="G45" s="313"/>
      <c r="H45" s="313"/>
      <c r="I45" s="313"/>
      <c r="J45" s="313"/>
      <c r="K45" s="313"/>
      <c r="L45" s="313"/>
      <c r="M45" s="313"/>
      <c r="N45" s="313"/>
      <c r="O45" s="313"/>
      <c r="P45" s="313"/>
      <c r="Q45" s="313"/>
      <c r="R45" s="314"/>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385B1-879F-4985-88AE-5C1AF17C8ABE}">
  <dimension ref="A1:X63"/>
  <sheetViews>
    <sheetView showGridLines="0" zoomScale="77" zoomScaleNormal="75" workbookViewId="0"/>
  </sheetViews>
  <sheetFormatPr defaultColWidth="9.140625"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15" t="s">
        <v>345</v>
      </c>
      <c r="D3" s="316"/>
      <c r="E3" s="316"/>
      <c r="F3" s="316"/>
      <c r="G3" s="316"/>
      <c r="H3" s="316"/>
      <c r="I3" s="316"/>
      <c r="J3" s="316"/>
      <c r="K3" s="316"/>
      <c r="L3" s="316"/>
      <c r="M3" s="316"/>
      <c r="N3" s="316"/>
      <c r="O3" s="316"/>
      <c r="P3" s="316"/>
      <c r="Q3" s="316"/>
      <c r="R3" s="316"/>
      <c r="S3" s="316"/>
      <c r="T3" s="65"/>
      <c r="U3" s="66"/>
    </row>
    <row r="4" spans="1:24" ht="15.75" x14ac:dyDescent="0.25">
      <c r="B4" s="64"/>
      <c r="C4" s="67" t="s">
        <v>430</v>
      </c>
      <c r="D4" s="29"/>
      <c r="E4" s="29"/>
      <c r="F4" s="29"/>
      <c r="G4" s="29"/>
      <c r="H4" s="29"/>
      <c r="I4" s="29"/>
      <c r="J4" s="29"/>
      <c r="K4" s="29"/>
      <c r="L4" s="29"/>
      <c r="M4" s="29"/>
      <c r="N4" s="29"/>
      <c r="O4" s="29"/>
      <c r="P4" s="29"/>
      <c r="Q4" s="29"/>
      <c r="R4" s="29"/>
      <c r="S4" s="29"/>
      <c r="T4" s="29"/>
      <c r="U4" s="25"/>
    </row>
    <row r="5" spans="1:24" ht="20.25" x14ac:dyDescent="0.25">
      <c r="B5" s="64"/>
      <c r="C5" s="211" t="s">
        <v>431</v>
      </c>
      <c r="D5" s="319" t="s">
        <v>428</v>
      </c>
      <c r="E5" s="319"/>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84" t="s">
        <v>142</v>
      </c>
      <c r="D8" s="185" t="s">
        <v>121</v>
      </c>
      <c r="E8" s="186">
        <v>4.4741000000000003E-2</v>
      </c>
      <c r="F8" s="29"/>
      <c r="G8" s="29"/>
      <c r="H8" s="29"/>
      <c r="I8" s="29"/>
      <c r="J8" s="29"/>
      <c r="K8" s="29"/>
      <c r="L8" s="29"/>
      <c r="M8" s="29"/>
      <c r="N8" s="29"/>
      <c r="O8" s="29"/>
      <c r="P8" s="29"/>
      <c r="Q8" s="29"/>
      <c r="R8" s="29"/>
      <c r="S8" s="29"/>
      <c r="T8" s="29"/>
      <c r="U8" s="25"/>
      <c r="W8" s="173" t="s">
        <v>4</v>
      </c>
      <c r="X8" s="224">
        <v>0.11604100000000001</v>
      </c>
    </row>
    <row r="9" spans="1:24" ht="15.75" x14ac:dyDescent="0.25">
      <c r="B9" s="64"/>
      <c r="C9" s="180" t="s">
        <v>146</v>
      </c>
      <c r="D9" s="187" t="s">
        <v>84</v>
      </c>
      <c r="E9" s="188">
        <v>4.0483999999999999E-2</v>
      </c>
      <c r="F9" s="29"/>
      <c r="G9" s="29"/>
      <c r="H9" s="29"/>
      <c r="I9" s="29"/>
      <c r="J9" s="29"/>
      <c r="K9" s="29"/>
      <c r="L9" s="29"/>
      <c r="M9" s="29"/>
      <c r="N9" s="29"/>
      <c r="O9" s="29"/>
      <c r="P9" s="29"/>
      <c r="Q9" s="29"/>
      <c r="R9" s="29"/>
      <c r="S9" s="29"/>
      <c r="T9" s="29"/>
      <c r="U9" s="25"/>
      <c r="W9" s="173" t="s">
        <v>10</v>
      </c>
      <c r="X9" s="224">
        <v>8.4458000000000005E-2</v>
      </c>
    </row>
    <row r="10" spans="1:24" ht="15.75" x14ac:dyDescent="0.25">
      <c r="B10" s="64"/>
      <c r="C10" s="180" t="s">
        <v>283</v>
      </c>
      <c r="D10" s="187" t="s">
        <v>108</v>
      </c>
      <c r="E10" s="188">
        <v>3.5941000000000001E-2</v>
      </c>
      <c r="F10" s="29"/>
      <c r="G10" s="29"/>
      <c r="H10" s="29"/>
      <c r="I10" s="29"/>
      <c r="J10" s="29"/>
      <c r="K10" s="29"/>
      <c r="L10" s="29"/>
      <c r="M10" s="29"/>
      <c r="N10" s="29"/>
      <c r="O10" s="29"/>
      <c r="P10" s="29"/>
      <c r="Q10" s="29"/>
      <c r="R10" s="29"/>
      <c r="S10" s="29"/>
      <c r="T10" s="29"/>
      <c r="U10" s="25"/>
      <c r="W10" s="173" t="s">
        <v>108</v>
      </c>
      <c r="X10" s="224">
        <v>6.0082999999999998E-2</v>
      </c>
    </row>
    <row r="11" spans="1:24" ht="15.75" x14ac:dyDescent="0.25">
      <c r="B11" s="64"/>
      <c r="C11" s="180" t="s">
        <v>268</v>
      </c>
      <c r="D11" s="187" t="s">
        <v>130</v>
      </c>
      <c r="E11" s="188">
        <v>3.1639E-2</v>
      </c>
      <c r="F11" s="29"/>
      <c r="G11" s="29"/>
      <c r="H11" s="29"/>
      <c r="I11" s="29"/>
      <c r="J11" s="29"/>
      <c r="K11" s="29"/>
      <c r="L11" s="29"/>
      <c r="M11" s="29"/>
      <c r="N11" s="29"/>
      <c r="O11" s="29"/>
      <c r="P11" s="29"/>
      <c r="Q11" s="29"/>
      <c r="R11" s="29"/>
      <c r="S11" s="29"/>
      <c r="T11" s="29"/>
      <c r="U11" s="25"/>
      <c r="W11" s="173" t="s">
        <v>26</v>
      </c>
      <c r="X11" s="224">
        <v>5.4446000000000001E-2</v>
      </c>
    </row>
    <row r="12" spans="1:24" ht="15.75" x14ac:dyDescent="0.25">
      <c r="B12" s="64"/>
      <c r="C12" s="180" t="s">
        <v>91</v>
      </c>
      <c r="D12" s="187" t="s">
        <v>81</v>
      </c>
      <c r="E12" s="188">
        <v>2.894E-2</v>
      </c>
      <c r="F12" s="29"/>
      <c r="G12" s="29"/>
      <c r="H12" s="29"/>
      <c r="I12" s="29"/>
      <c r="J12" s="29"/>
      <c r="K12" s="29"/>
      <c r="L12" s="29"/>
      <c r="M12" s="29"/>
      <c r="N12" s="29"/>
      <c r="O12" s="29"/>
      <c r="P12" s="29"/>
      <c r="Q12" s="29"/>
      <c r="R12" s="29"/>
      <c r="S12" s="29"/>
      <c r="T12" s="29"/>
      <c r="U12" s="25"/>
      <c r="W12" s="173" t="s">
        <v>3</v>
      </c>
      <c r="X12" s="224">
        <v>5.1957999999999997E-2</v>
      </c>
    </row>
    <row r="13" spans="1:24" ht="15.75" x14ac:dyDescent="0.25">
      <c r="B13" s="64"/>
      <c r="C13" s="180" t="s">
        <v>102</v>
      </c>
      <c r="D13" s="187" t="s">
        <v>4</v>
      </c>
      <c r="E13" s="188">
        <v>2.8847000000000001E-2</v>
      </c>
      <c r="F13" s="29"/>
      <c r="G13" s="29"/>
      <c r="H13" s="29"/>
      <c r="I13" s="29"/>
      <c r="J13" s="29"/>
      <c r="K13" s="29"/>
      <c r="L13" s="29"/>
      <c r="M13" s="29"/>
      <c r="N13" s="29"/>
      <c r="O13" s="29"/>
      <c r="P13" s="29"/>
      <c r="Q13" s="29"/>
      <c r="R13" s="29"/>
      <c r="S13" s="29"/>
      <c r="T13" s="29"/>
      <c r="U13" s="25"/>
      <c r="W13" s="173" t="s">
        <v>116</v>
      </c>
      <c r="X13" s="224">
        <v>5.1772000000000006E-2</v>
      </c>
    </row>
    <row r="14" spans="1:24" ht="15.75" x14ac:dyDescent="0.25">
      <c r="B14" s="64"/>
      <c r="C14" s="180" t="s">
        <v>344</v>
      </c>
      <c r="D14" s="187" t="s">
        <v>10</v>
      </c>
      <c r="E14" s="188">
        <v>2.8233000000000001E-2</v>
      </c>
      <c r="F14" s="29"/>
      <c r="G14" s="29"/>
      <c r="H14" s="29"/>
      <c r="I14" s="29"/>
      <c r="J14" s="29"/>
      <c r="K14" s="29"/>
      <c r="L14" s="29"/>
      <c r="M14" s="29"/>
      <c r="N14" s="29"/>
      <c r="O14" s="29"/>
      <c r="P14" s="29"/>
      <c r="Q14" s="29"/>
      <c r="R14" s="29"/>
      <c r="S14" s="29"/>
      <c r="T14" s="29"/>
      <c r="U14" s="25"/>
      <c r="W14" s="173" t="s">
        <v>6</v>
      </c>
      <c r="X14" s="224">
        <v>4.9123E-2</v>
      </c>
    </row>
    <row r="15" spans="1:24" ht="15.75" x14ac:dyDescent="0.25">
      <c r="B15" s="64"/>
      <c r="C15" s="180" t="s">
        <v>131</v>
      </c>
      <c r="D15" s="187" t="s">
        <v>109</v>
      </c>
      <c r="E15" s="188">
        <v>2.7956000000000002E-2</v>
      </c>
      <c r="F15" s="29"/>
      <c r="G15" s="29"/>
      <c r="H15" s="29"/>
      <c r="I15" s="29"/>
      <c r="J15" s="29"/>
      <c r="K15" s="29"/>
      <c r="L15" s="29"/>
      <c r="M15" s="29"/>
      <c r="N15" s="29"/>
      <c r="O15" s="29"/>
      <c r="P15" s="29"/>
      <c r="Q15" s="29"/>
      <c r="R15" s="29"/>
      <c r="S15" s="29"/>
      <c r="T15" s="29"/>
      <c r="U15" s="25"/>
      <c r="W15" s="173" t="s">
        <v>103</v>
      </c>
      <c r="X15" s="224">
        <v>4.6556E-2</v>
      </c>
    </row>
    <row r="16" spans="1:24" ht="15.75" x14ac:dyDescent="0.25">
      <c r="B16" s="64"/>
      <c r="C16" s="180" t="s">
        <v>85</v>
      </c>
      <c r="D16" s="187" t="s">
        <v>105</v>
      </c>
      <c r="E16" s="188">
        <v>2.7843E-2</v>
      </c>
      <c r="F16" s="29"/>
      <c r="G16" s="29"/>
      <c r="H16" s="29"/>
      <c r="I16" s="29"/>
      <c r="J16" s="29"/>
      <c r="K16" s="29"/>
      <c r="L16" s="29"/>
      <c r="M16" s="29"/>
      <c r="N16" s="29"/>
      <c r="O16" s="29"/>
      <c r="P16" s="29"/>
      <c r="Q16" s="29"/>
      <c r="R16" s="29"/>
      <c r="S16" s="29"/>
      <c r="T16" s="29"/>
      <c r="U16" s="25"/>
      <c r="W16" s="173" t="s">
        <v>121</v>
      </c>
      <c r="X16" s="224">
        <v>4.4741000000000003E-2</v>
      </c>
    </row>
    <row r="17" spans="2:24" ht="15.75" x14ac:dyDescent="0.25">
      <c r="B17" s="64"/>
      <c r="C17" s="180" t="s">
        <v>189</v>
      </c>
      <c r="D17" s="187" t="s">
        <v>103</v>
      </c>
      <c r="E17" s="188">
        <v>2.7331999999999999E-2</v>
      </c>
      <c r="F17" s="29"/>
      <c r="G17" s="29"/>
      <c r="H17" s="29"/>
      <c r="I17" s="29"/>
      <c r="J17" s="29"/>
      <c r="K17" s="29"/>
      <c r="L17" s="29"/>
      <c r="M17" s="29"/>
      <c r="N17" s="29"/>
      <c r="O17" s="29"/>
      <c r="P17" s="29"/>
      <c r="Q17" s="29"/>
      <c r="R17" s="29"/>
      <c r="S17" s="29"/>
      <c r="T17" s="29"/>
      <c r="U17" s="25"/>
      <c r="W17" s="173" t="s">
        <v>84</v>
      </c>
      <c r="X17" s="224">
        <v>4.0483999999999999E-2</v>
      </c>
    </row>
    <row r="18" spans="2:24" ht="15.75" x14ac:dyDescent="0.25">
      <c r="B18" s="64"/>
      <c r="C18" s="180" t="s">
        <v>306</v>
      </c>
      <c r="D18" s="187" t="s">
        <v>6</v>
      </c>
      <c r="E18" s="188">
        <v>2.6417E-2</v>
      </c>
      <c r="F18" s="29"/>
      <c r="G18" s="29"/>
      <c r="H18" s="29"/>
      <c r="I18" s="29"/>
      <c r="J18" s="29"/>
      <c r="K18" s="29"/>
      <c r="L18" s="29"/>
      <c r="M18" s="29"/>
      <c r="N18" s="29"/>
      <c r="O18" s="29"/>
      <c r="P18" s="29"/>
      <c r="Q18" s="29"/>
      <c r="R18" s="29"/>
      <c r="S18" s="29"/>
      <c r="T18" s="29"/>
      <c r="U18" s="25"/>
      <c r="W18" s="173" t="s">
        <v>83</v>
      </c>
      <c r="X18" s="224">
        <v>3.9372000000000004E-2</v>
      </c>
    </row>
    <row r="19" spans="2:24" ht="15.75" x14ac:dyDescent="0.25">
      <c r="B19" s="64"/>
      <c r="C19" s="180" t="s">
        <v>73</v>
      </c>
      <c r="D19" s="187" t="s">
        <v>4</v>
      </c>
      <c r="E19" s="188">
        <v>2.5302000000000002E-2</v>
      </c>
      <c r="F19" s="29"/>
      <c r="G19" s="29"/>
      <c r="H19" s="29"/>
      <c r="I19" s="29"/>
      <c r="J19" s="29"/>
      <c r="K19" s="29"/>
      <c r="L19" s="29"/>
      <c r="M19" s="29"/>
      <c r="N19" s="29"/>
      <c r="O19" s="29"/>
      <c r="P19" s="29"/>
      <c r="Q19" s="29"/>
      <c r="R19" s="29"/>
      <c r="S19" s="29"/>
      <c r="T19" s="29"/>
      <c r="U19" s="25"/>
      <c r="W19" s="173" t="s">
        <v>110</v>
      </c>
      <c r="X19" s="224">
        <v>3.8966000000000001E-2</v>
      </c>
    </row>
    <row r="20" spans="2:24" ht="15.75" x14ac:dyDescent="0.25">
      <c r="B20" s="64"/>
      <c r="C20" s="180" t="s">
        <v>147</v>
      </c>
      <c r="D20" s="187" t="s">
        <v>118</v>
      </c>
      <c r="E20" s="188">
        <v>2.5245E-2</v>
      </c>
      <c r="F20" s="29"/>
      <c r="G20" s="29"/>
      <c r="H20" s="29"/>
      <c r="I20" s="29"/>
      <c r="J20" s="29"/>
      <c r="K20" s="29"/>
      <c r="L20" s="29"/>
      <c r="M20" s="29"/>
      <c r="N20" s="29"/>
      <c r="O20" s="29"/>
      <c r="P20" s="29"/>
      <c r="Q20" s="29"/>
      <c r="R20" s="29"/>
      <c r="S20" s="29"/>
      <c r="T20" s="29"/>
      <c r="U20" s="25"/>
      <c r="W20" s="173" t="s">
        <v>109</v>
      </c>
      <c r="X20" s="224">
        <v>3.7547000000000004E-2</v>
      </c>
    </row>
    <row r="21" spans="2:24" ht="15.75" x14ac:dyDescent="0.25">
      <c r="B21" s="64"/>
      <c r="C21" s="180" t="s">
        <v>295</v>
      </c>
      <c r="D21" s="187" t="s">
        <v>26</v>
      </c>
      <c r="E21" s="188">
        <v>2.5190000000000001E-2</v>
      </c>
      <c r="F21" s="29"/>
      <c r="G21" s="29"/>
      <c r="H21" s="29"/>
      <c r="I21" s="29"/>
      <c r="J21" s="29"/>
      <c r="K21" s="29"/>
      <c r="L21" s="29"/>
      <c r="M21" s="29"/>
      <c r="N21" s="29"/>
      <c r="O21" s="29"/>
      <c r="P21" s="29"/>
      <c r="Q21" s="29"/>
      <c r="R21" s="29"/>
      <c r="S21" s="29"/>
      <c r="T21" s="29"/>
      <c r="U21" s="25"/>
      <c r="W21" s="173" t="s">
        <v>118</v>
      </c>
      <c r="X21" s="224">
        <v>3.7437999999999999E-2</v>
      </c>
    </row>
    <row r="22" spans="2:24" ht="15.75" x14ac:dyDescent="0.25">
      <c r="B22" s="64"/>
      <c r="C22" s="180" t="s">
        <v>441</v>
      </c>
      <c r="D22" s="187" t="s">
        <v>4</v>
      </c>
      <c r="E22" s="188">
        <v>2.4901E-2</v>
      </c>
      <c r="F22" s="29"/>
      <c r="G22" s="29"/>
      <c r="H22" s="29"/>
      <c r="I22" s="29"/>
      <c r="J22" s="29"/>
      <c r="K22" s="29"/>
      <c r="L22" s="29"/>
      <c r="M22" s="29"/>
      <c r="N22" s="29"/>
      <c r="O22" s="29"/>
      <c r="P22" s="29"/>
      <c r="Q22" s="29"/>
      <c r="R22" s="29"/>
      <c r="S22" s="29"/>
      <c r="T22" s="29"/>
      <c r="U22" s="25"/>
      <c r="W22" s="173" t="s">
        <v>80</v>
      </c>
      <c r="X22" s="224">
        <v>3.2779000000000003E-2</v>
      </c>
    </row>
    <row r="23" spans="2:24" x14ac:dyDescent="0.25">
      <c r="B23" s="64"/>
      <c r="C23" s="71"/>
      <c r="D23" s="71"/>
      <c r="E23" s="72"/>
      <c r="F23" s="29"/>
      <c r="G23" s="29"/>
      <c r="H23" s="29"/>
      <c r="I23" s="29"/>
      <c r="J23" s="29"/>
      <c r="K23" s="29"/>
      <c r="L23" s="29"/>
      <c r="M23" s="29"/>
      <c r="N23" s="29"/>
      <c r="O23" s="29"/>
      <c r="P23" s="29"/>
      <c r="Q23" s="29"/>
      <c r="R23" s="29"/>
      <c r="S23" s="29"/>
      <c r="T23" s="29"/>
      <c r="U23" s="25"/>
      <c r="W23" s="173" t="s">
        <v>130</v>
      </c>
      <c r="X23" s="224">
        <v>3.1639E-2</v>
      </c>
    </row>
    <row r="24" spans="2:24" ht="15.75" x14ac:dyDescent="0.25">
      <c r="B24" s="64"/>
      <c r="C24" s="73" t="s">
        <v>55</v>
      </c>
      <c r="D24" s="74"/>
      <c r="E24" s="75">
        <f>SUM(E8:E22)</f>
        <v>0.44901100000000005</v>
      </c>
      <c r="F24" s="29"/>
      <c r="G24" s="29"/>
      <c r="H24" s="29"/>
      <c r="I24" s="29"/>
      <c r="J24" s="29"/>
      <c r="K24" s="29"/>
      <c r="L24" s="29"/>
      <c r="M24" s="29"/>
      <c r="N24" s="29"/>
      <c r="O24" s="29"/>
      <c r="P24" s="29"/>
      <c r="Q24" s="29"/>
      <c r="R24" s="29"/>
      <c r="S24" s="29"/>
      <c r="T24" s="29"/>
      <c r="U24" s="25"/>
      <c r="W24" s="173" t="s">
        <v>107</v>
      </c>
      <c r="X24" s="224">
        <v>3.0988000000000002E-2</v>
      </c>
    </row>
    <row r="25" spans="2:24" x14ac:dyDescent="0.25">
      <c r="B25" s="64"/>
      <c r="C25" s="29"/>
      <c r="D25" s="29"/>
      <c r="E25" s="29"/>
      <c r="F25" s="29"/>
      <c r="G25" s="29"/>
      <c r="H25" s="29"/>
      <c r="I25" s="29"/>
      <c r="J25" s="29"/>
      <c r="K25" s="29"/>
      <c r="L25" s="29"/>
      <c r="M25" s="29"/>
      <c r="N25" s="29"/>
      <c r="O25" s="29"/>
      <c r="P25" s="29"/>
      <c r="Q25" s="29"/>
      <c r="R25" s="29"/>
      <c r="S25" s="29"/>
      <c r="T25" s="29"/>
      <c r="U25" s="25"/>
      <c r="W25" s="173" t="s">
        <v>81</v>
      </c>
      <c r="X25" s="224">
        <v>2.894E-2</v>
      </c>
    </row>
    <row r="26" spans="2:24" x14ac:dyDescent="0.25">
      <c r="B26" s="64"/>
      <c r="C26" s="29"/>
      <c r="D26" s="29"/>
      <c r="E26" s="29"/>
      <c r="F26" s="29"/>
      <c r="G26" s="29"/>
      <c r="H26" s="29"/>
      <c r="I26" s="29"/>
      <c r="J26" s="29"/>
      <c r="K26" s="29"/>
      <c r="L26" s="29"/>
      <c r="M26" s="29"/>
      <c r="N26" s="29"/>
      <c r="O26" s="29"/>
      <c r="P26" s="29"/>
      <c r="Q26" s="29"/>
      <c r="R26" s="29"/>
      <c r="S26" s="29"/>
      <c r="T26" s="29"/>
      <c r="U26" s="25"/>
      <c r="W26" s="173" t="s">
        <v>105</v>
      </c>
      <c r="X26" s="224">
        <v>2.7843E-2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25</v>
      </c>
      <c r="X27" s="62">
        <v>2.1915E-2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113</v>
      </c>
      <c r="X28" s="62">
        <v>2.0494999999999999E-2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104</v>
      </c>
      <c r="X29" s="62">
        <v>2.0025000000000001E-2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16</v>
      </c>
      <c r="X30" s="62">
        <v>1.6494000000000002E-2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11</v>
      </c>
      <c r="X31" s="62">
        <v>1.5435000000000001E-2</v>
      </c>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306" t="s">
        <v>177</v>
      </c>
      <c r="C39" s="307"/>
      <c r="D39" s="307"/>
      <c r="E39" s="307"/>
      <c r="F39" s="307"/>
      <c r="G39" s="307"/>
      <c r="H39" s="307"/>
      <c r="I39" s="307"/>
      <c r="J39" s="307"/>
      <c r="K39" s="307"/>
      <c r="L39" s="307"/>
      <c r="M39" s="307"/>
      <c r="N39" s="307"/>
      <c r="O39" s="307"/>
      <c r="P39" s="307"/>
      <c r="Q39" s="307"/>
      <c r="R39" s="308"/>
      <c r="W39" s="61"/>
      <c r="X39" s="62"/>
    </row>
    <row r="40" spans="2:24" x14ac:dyDescent="0.25">
      <c r="B40" s="309"/>
      <c r="C40" s="310"/>
      <c r="D40" s="310"/>
      <c r="E40" s="310"/>
      <c r="F40" s="310"/>
      <c r="G40" s="310"/>
      <c r="H40" s="310"/>
      <c r="I40" s="310"/>
      <c r="J40" s="310"/>
      <c r="K40" s="310"/>
      <c r="L40" s="310"/>
      <c r="M40" s="310"/>
      <c r="N40" s="310"/>
      <c r="O40" s="310"/>
      <c r="P40" s="310"/>
      <c r="Q40" s="310"/>
      <c r="R40" s="311"/>
      <c r="W40" s="61"/>
      <c r="X40" s="62"/>
    </row>
    <row r="41" spans="2:24" x14ac:dyDescent="0.25">
      <c r="B41" s="309"/>
      <c r="C41" s="310"/>
      <c r="D41" s="310"/>
      <c r="E41" s="310"/>
      <c r="F41" s="310"/>
      <c r="G41" s="310"/>
      <c r="H41" s="310"/>
      <c r="I41" s="310"/>
      <c r="J41" s="310"/>
      <c r="K41" s="310"/>
      <c r="L41" s="310"/>
      <c r="M41" s="310"/>
      <c r="N41" s="310"/>
      <c r="O41" s="310"/>
      <c r="P41" s="310"/>
      <c r="Q41" s="310"/>
      <c r="R41" s="311"/>
      <c r="W41" s="61"/>
      <c r="X41" s="62"/>
    </row>
    <row r="42" spans="2:24" x14ac:dyDescent="0.25">
      <c r="B42" s="309"/>
      <c r="C42" s="310"/>
      <c r="D42" s="310"/>
      <c r="E42" s="310"/>
      <c r="F42" s="310"/>
      <c r="G42" s="310"/>
      <c r="H42" s="310"/>
      <c r="I42" s="310"/>
      <c r="J42" s="310"/>
      <c r="K42" s="310"/>
      <c r="L42" s="310"/>
      <c r="M42" s="310"/>
      <c r="N42" s="310"/>
      <c r="O42" s="310"/>
      <c r="P42" s="310"/>
      <c r="Q42" s="310"/>
      <c r="R42" s="311"/>
      <c r="W42" s="61"/>
      <c r="X42" s="62"/>
    </row>
    <row r="43" spans="2:24" x14ac:dyDescent="0.25">
      <c r="B43" s="309"/>
      <c r="C43" s="310"/>
      <c r="D43" s="310"/>
      <c r="E43" s="310"/>
      <c r="F43" s="310"/>
      <c r="G43" s="310"/>
      <c r="H43" s="310"/>
      <c r="I43" s="310"/>
      <c r="J43" s="310"/>
      <c r="K43" s="310"/>
      <c r="L43" s="310"/>
      <c r="M43" s="310"/>
      <c r="N43" s="310"/>
      <c r="O43" s="310"/>
      <c r="P43" s="310"/>
      <c r="Q43" s="310"/>
      <c r="R43" s="311"/>
      <c r="W43" s="61"/>
      <c r="X43" s="62"/>
    </row>
    <row r="44" spans="2:24" x14ac:dyDescent="0.25">
      <c r="B44" s="309"/>
      <c r="C44" s="310"/>
      <c r="D44" s="310"/>
      <c r="E44" s="310"/>
      <c r="F44" s="310"/>
      <c r="G44" s="310"/>
      <c r="H44" s="310"/>
      <c r="I44" s="310"/>
      <c r="J44" s="310"/>
      <c r="K44" s="310"/>
      <c r="L44" s="310"/>
      <c r="M44" s="310"/>
      <c r="N44" s="310"/>
      <c r="O44" s="310"/>
      <c r="P44" s="310"/>
      <c r="Q44" s="310"/>
      <c r="R44" s="311"/>
      <c r="W44" s="61"/>
      <c r="X44" s="62"/>
    </row>
    <row r="45" spans="2:24" ht="15.75" thickBot="1" x14ac:dyDescent="0.3">
      <c r="B45" s="312"/>
      <c r="C45" s="313"/>
      <c r="D45" s="313"/>
      <c r="E45" s="313"/>
      <c r="F45" s="313"/>
      <c r="G45" s="313"/>
      <c r="H45" s="313"/>
      <c r="I45" s="313"/>
      <c r="J45" s="313"/>
      <c r="K45" s="313"/>
      <c r="L45" s="313"/>
      <c r="M45" s="313"/>
      <c r="N45" s="313"/>
      <c r="O45" s="313"/>
      <c r="P45" s="313"/>
      <c r="Q45" s="313"/>
      <c r="R45" s="314"/>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D8F1-3477-4C73-AE5F-9027EB971870}">
  <sheetPr>
    <tabColor rgb="FFE5E3E3"/>
    <pageSetUpPr fitToPage="1"/>
  </sheetPr>
  <dimension ref="B1:X691"/>
  <sheetViews>
    <sheetView showGridLines="0" zoomScale="75" zoomScaleNormal="75" workbookViewId="0"/>
  </sheetViews>
  <sheetFormatPr defaultColWidth="9.140625" defaultRowHeight="15" x14ac:dyDescent="0.2"/>
  <cols>
    <col min="1" max="1" width="2.85546875" style="3" customWidth="1"/>
    <col min="2" max="2" width="3.85546875" style="3" customWidth="1"/>
    <col min="3" max="3" width="60.5703125" style="3"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1"/>
      <c r="C2" s="42"/>
      <c r="D2" s="42"/>
      <c r="E2" s="42"/>
      <c r="F2" s="42"/>
      <c r="G2" s="42"/>
      <c r="H2" s="42"/>
      <c r="I2" s="42"/>
      <c r="J2" s="42"/>
      <c r="K2" s="42"/>
      <c r="L2" s="42"/>
      <c r="M2" s="92"/>
    </row>
    <row r="3" spans="2:24" ht="20.25" customHeight="1" x14ac:dyDescent="0.2">
      <c r="B3" s="93"/>
      <c r="C3" s="300" t="s">
        <v>336</v>
      </c>
      <c r="D3" s="300"/>
      <c r="E3" s="300"/>
      <c r="F3" s="300"/>
      <c r="G3" s="300"/>
      <c r="H3" s="300"/>
      <c r="I3" s="300"/>
      <c r="J3" s="300"/>
      <c r="K3" s="300"/>
      <c r="L3" s="300"/>
      <c r="M3" s="301"/>
    </row>
    <row r="4" spans="2:24" ht="15.75" x14ac:dyDescent="0.25">
      <c r="B4" s="93"/>
      <c r="C4" s="67" t="s">
        <v>430</v>
      </c>
      <c r="D4" s="29"/>
      <c r="E4" s="29"/>
      <c r="F4" s="5"/>
      <c r="G4" s="5"/>
      <c r="H4" s="5"/>
      <c r="I4" s="5"/>
      <c r="J4" s="5"/>
      <c r="K4" s="5"/>
      <c r="L4" s="5"/>
      <c r="M4" s="20"/>
    </row>
    <row r="5" spans="2:24" ht="20.25" customHeight="1" x14ac:dyDescent="0.25">
      <c r="B5" s="93"/>
      <c r="C5" s="211" t="s">
        <v>431</v>
      </c>
      <c r="D5" s="94" t="s">
        <v>429</v>
      </c>
      <c r="E5" s="19"/>
      <c r="F5" s="5"/>
      <c r="G5" s="5"/>
      <c r="H5" s="5"/>
      <c r="I5" s="5"/>
      <c r="J5" s="5"/>
      <c r="K5" s="5"/>
      <c r="L5" s="5"/>
      <c r="M5" s="20"/>
    </row>
    <row r="6" spans="2:24" x14ac:dyDescent="0.2">
      <c r="B6" s="93"/>
      <c r="C6" s="5"/>
      <c r="D6" s="5"/>
      <c r="E6" s="5"/>
      <c r="F6" s="5"/>
      <c r="G6" s="5"/>
      <c r="H6" s="5"/>
      <c r="I6" s="5"/>
      <c r="J6" s="5"/>
      <c r="K6" s="5"/>
      <c r="L6" s="5"/>
      <c r="M6" s="20"/>
    </row>
    <row r="7" spans="2:24" ht="15.75" x14ac:dyDescent="0.2">
      <c r="B7" s="93"/>
      <c r="C7" s="160" t="s">
        <v>43</v>
      </c>
      <c r="D7" s="95" t="s">
        <v>45</v>
      </c>
      <c r="E7" s="5"/>
      <c r="F7" s="302" t="s">
        <v>50</v>
      </c>
      <c r="G7" s="302"/>
      <c r="H7" s="302"/>
      <c r="I7" s="302"/>
      <c r="J7" s="302"/>
      <c r="K7" s="302"/>
      <c r="L7" s="302"/>
      <c r="M7" s="303"/>
    </row>
    <row r="8" spans="2:24" x14ac:dyDescent="0.2">
      <c r="B8" s="93"/>
      <c r="C8" s="271" t="s">
        <v>328</v>
      </c>
      <c r="D8" s="174">
        <v>0.98866299999999996</v>
      </c>
      <c r="E8" s="5"/>
      <c r="F8" s="5"/>
      <c r="G8" s="31"/>
      <c r="H8" s="5"/>
      <c r="I8" s="5" t="s">
        <v>89</v>
      </c>
      <c r="J8" s="47">
        <f>D9</f>
        <v>0.98866299999999996</v>
      </c>
      <c r="K8" s="5"/>
      <c r="L8" s="5"/>
      <c r="M8" s="20"/>
      <c r="S8" s="49"/>
      <c r="W8" s="3" t="s">
        <v>3</v>
      </c>
      <c r="X8" s="3">
        <v>0.25058799999999998</v>
      </c>
    </row>
    <row r="9" spans="2:24" ht="15.75" x14ac:dyDescent="0.25">
      <c r="B9" s="93"/>
      <c r="C9" s="60" t="s">
        <v>89</v>
      </c>
      <c r="D9" s="175">
        <v>0.98866299999999996</v>
      </c>
      <c r="E9" s="5"/>
      <c r="F9" s="5"/>
      <c r="G9" s="5"/>
      <c r="H9" s="5"/>
      <c r="I9" s="5" t="s">
        <v>20</v>
      </c>
      <c r="J9" s="47">
        <f>D13</f>
        <v>-4.3819999999999996E-3</v>
      </c>
      <c r="K9" s="5"/>
      <c r="L9" s="5"/>
      <c r="M9" s="20"/>
      <c r="S9" s="49"/>
      <c r="W9" s="3" t="s">
        <v>9</v>
      </c>
      <c r="X9" s="3">
        <v>6.1296999999999997E-2</v>
      </c>
    </row>
    <row r="10" spans="2:24" x14ac:dyDescent="0.2">
      <c r="B10" s="93"/>
      <c r="C10" s="161" t="s">
        <v>98</v>
      </c>
      <c r="D10" s="176">
        <v>1.5719E-2</v>
      </c>
      <c r="E10" s="5"/>
      <c r="F10" s="5"/>
      <c r="G10" s="5"/>
      <c r="I10" s="3" t="s">
        <v>99</v>
      </c>
      <c r="J10" s="47">
        <f>D11</f>
        <v>1.5719E-2</v>
      </c>
      <c r="K10" s="5"/>
      <c r="L10" s="5"/>
      <c r="M10" s="20"/>
      <c r="S10" s="49"/>
      <c r="W10" s="3" t="s">
        <v>10</v>
      </c>
      <c r="X10" s="3">
        <v>3.0130999999999998E-2</v>
      </c>
    </row>
    <row r="11" spans="2:24" ht="15.75" x14ac:dyDescent="0.2">
      <c r="B11" s="93"/>
      <c r="C11" s="162" t="s">
        <v>99</v>
      </c>
      <c r="D11" s="177">
        <v>1.5719E-2</v>
      </c>
      <c r="E11" s="5"/>
      <c r="F11" s="5"/>
      <c r="G11" s="5"/>
      <c r="J11" s="5"/>
      <c r="K11" s="5"/>
      <c r="L11" s="5"/>
      <c r="M11" s="20"/>
      <c r="S11" s="49"/>
      <c r="W11" s="3" t="s">
        <v>7</v>
      </c>
      <c r="X11" s="3">
        <v>2.7299E-2</v>
      </c>
    </row>
    <row r="12" spans="2:24" x14ac:dyDescent="0.2">
      <c r="B12" s="93"/>
      <c r="C12" s="161"/>
      <c r="D12" s="83"/>
      <c r="E12" s="5"/>
      <c r="F12" s="5"/>
      <c r="G12" s="5"/>
      <c r="J12" s="5"/>
      <c r="K12" s="5"/>
      <c r="L12" s="5"/>
      <c r="M12" s="20"/>
      <c r="S12" s="49"/>
      <c r="W12" s="3" t="s">
        <v>26</v>
      </c>
      <c r="X12" s="3">
        <v>2.5925E-2</v>
      </c>
    </row>
    <row r="13" spans="2:24" ht="15.75" x14ac:dyDescent="0.2">
      <c r="B13" s="93"/>
      <c r="C13" s="162" t="s">
        <v>20</v>
      </c>
      <c r="D13" s="177">
        <v>-4.3819999999999996E-3</v>
      </c>
      <c r="E13" s="5"/>
      <c r="F13" s="5"/>
      <c r="G13" s="5"/>
      <c r="J13" s="5"/>
      <c r="K13" s="5"/>
      <c r="L13" s="5"/>
      <c r="M13" s="20"/>
      <c r="S13" s="49"/>
      <c r="W13" s="3" t="s">
        <v>8</v>
      </c>
      <c r="X13" s="3">
        <v>2.3822000000000003E-2</v>
      </c>
    </row>
    <row r="14" spans="2:24" x14ac:dyDescent="0.2">
      <c r="B14" s="93"/>
      <c r="C14" s="161"/>
      <c r="D14" s="83"/>
      <c r="E14" s="5"/>
      <c r="F14" s="5"/>
      <c r="G14" s="5"/>
      <c r="H14" s="5"/>
      <c r="I14" s="5"/>
      <c r="J14" s="5"/>
      <c r="K14" s="5"/>
      <c r="L14" s="5"/>
      <c r="M14" s="20"/>
      <c r="S14" s="49"/>
      <c r="W14" s="3" t="s">
        <v>25</v>
      </c>
      <c r="X14" s="3">
        <v>2.3753E-2</v>
      </c>
    </row>
    <row r="15" spans="2:24" ht="15.75" x14ac:dyDescent="0.2">
      <c r="B15" s="93"/>
      <c r="C15" s="163" t="s">
        <v>21</v>
      </c>
      <c r="D15" s="84">
        <f>D13+D11+D9</f>
        <v>1</v>
      </c>
      <c r="E15" s="5"/>
      <c r="F15" s="5"/>
      <c r="G15" s="5"/>
      <c r="H15" s="5"/>
      <c r="I15" s="5"/>
      <c r="J15" s="5"/>
      <c r="K15" s="5"/>
      <c r="L15" s="5"/>
      <c r="M15" s="20"/>
      <c r="S15" s="49"/>
      <c r="W15" s="3" t="s">
        <v>17</v>
      </c>
      <c r="X15" s="3">
        <v>1.8620999999999999E-2</v>
      </c>
    </row>
    <row r="16" spans="2:24" x14ac:dyDescent="0.2">
      <c r="B16" s="93"/>
      <c r="E16" s="5"/>
      <c r="F16" s="5"/>
      <c r="G16" s="5"/>
      <c r="H16" s="5"/>
      <c r="I16" s="5"/>
      <c r="J16" s="5"/>
      <c r="K16" s="5"/>
      <c r="L16" s="5"/>
      <c r="M16" s="20"/>
      <c r="S16" s="49"/>
      <c r="W16" s="3" t="s">
        <v>27</v>
      </c>
      <c r="X16" s="3">
        <v>1.7219000000000002E-2</v>
      </c>
    </row>
    <row r="17" spans="2:24" ht="15.75" x14ac:dyDescent="0.25">
      <c r="B17" s="93"/>
      <c r="C17" s="35"/>
      <c r="D17" s="36"/>
      <c r="E17" s="5"/>
      <c r="F17" s="5"/>
      <c r="G17" s="5"/>
      <c r="H17" s="5"/>
      <c r="I17" s="5"/>
      <c r="J17" s="5"/>
      <c r="K17" s="5"/>
      <c r="L17" s="5"/>
      <c r="M17" s="20"/>
      <c r="S17" s="49"/>
      <c r="W17" s="3" t="s">
        <v>12</v>
      </c>
      <c r="X17" s="3">
        <v>1.6056000000000001E-2</v>
      </c>
    </row>
    <row r="18" spans="2:24" x14ac:dyDescent="0.2">
      <c r="B18" s="93"/>
      <c r="C18" s="41"/>
      <c r="D18" s="41"/>
      <c r="E18" s="5"/>
      <c r="F18" s="5"/>
      <c r="G18" s="5"/>
      <c r="H18" s="5"/>
      <c r="I18" s="5"/>
      <c r="J18" s="5"/>
      <c r="K18" s="5"/>
      <c r="L18" s="5"/>
      <c r="M18" s="20"/>
      <c r="S18" s="49"/>
      <c r="W18" s="3" t="s">
        <v>6</v>
      </c>
      <c r="X18" s="3">
        <v>1.41E-2</v>
      </c>
    </row>
    <row r="19" spans="2:24" ht="15.75" x14ac:dyDescent="0.25">
      <c r="B19" s="93"/>
      <c r="C19" s="35"/>
      <c r="D19" s="37"/>
      <c r="E19" s="5"/>
      <c r="F19" s="5"/>
      <c r="G19" s="5"/>
      <c r="H19" s="5"/>
      <c r="I19" s="5"/>
      <c r="J19" s="5"/>
      <c r="K19" s="5"/>
      <c r="L19" s="5"/>
      <c r="M19" s="20"/>
      <c r="S19" s="49"/>
      <c r="W19" s="3" t="s">
        <v>14</v>
      </c>
      <c r="X19" s="3">
        <v>1.1167E-2</v>
      </c>
    </row>
    <row r="20" spans="2:24" x14ac:dyDescent="0.2">
      <c r="B20" s="93"/>
      <c r="E20" s="5"/>
      <c r="F20" s="5"/>
      <c r="G20" s="5"/>
      <c r="H20" s="5"/>
      <c r="I20" s="5"/>
      <c r="J20" s="5"/>
      <c r="K20" s="5"/>
      <c r="L20" s="5"/>
      <c r="M20" s="20"/>
      <c r="S20" s="49"/>
      <c r="W20" s="3" t="s">
        <v>11</v>
      </c>
      <c r="X20" s="3">
        <v>1.1159000000000001E-2</v>
      </c>
    </row>
    <row r="21" spans="2:24" x14ac:dyDescent="0.2">
      <c r="B21" s="93"/>
      <c r="E21" s="5"/>
      <c r="F21" s="5"/>
      <c r="G21" s="5"/>
      <c r="H21" s="5"/>
      <c r="I21" s="5"/>
      <c r="J21" s="5"/>
      <c r="K21" s="5"/>
      <c r="L21" s="5"/>
      <c r="M21" s="20"/>
      <c r="S21" s="49"/>
      <c r="W21" s="3" t="s">
        <v>18</v>
      </c>
      <c r="X21" s="3">
        <v>1.0543E-2</v>
      </c>
    </row>
    <row r="22" spans="2:24" ht="16.5" thickBot="1" x14ac:dyDescent="0.3">
      <c r="B22" s="96"/>
      <c r="C22" s="304"/>
      <c r="D22" s="304"/>
      <c r="E22" s="304"/>
      <c r="F22" s="304"/>
      <c r="G22" s="304"/>
      <c r="H22" s="304"/>
      <c r="I22" s="304"/>
      <c r="J22" s="304"/>
      <c r="K22" s="304"/>
      <c r="L22" s="304"/>
      <c r="M22" s="305"/>
      <c r="S22" s="49"/>
    </row>
    <row r="23" spans="2:24" ht="15.75" thickBot="1" x14ac:dyDescent="0.25">
      <c r="S23" s="49"/>
    </row>
    <row r="24" spans="2:24" ht="15" customHeight="1" x14ac:dyDescent="0.2">
      <c r="B24" s="306" t="s">
        <v>177</v>
      </c>
      <c r="C24" s="307"/>
      <c r="D24" s="307"/>
      <c r="E24" s="307"/>
      <c r="F24" s="307"/>
      <c r="G24" s="307"/>
      <c r="H24" s="307"/>
      <c r="I24" s="307"/>
      <c r="J24" s="307"/>
      <c r="K24" s="307"/>
      <c r="L24" s="307"/>
      <c r="M24" s="307"/>
      <c r="N24" s="308"/>
      <c r="S24" s="49"/>
    </row>
    <row r="25" spans="2:24" ht="15.75" customHeight="1" x14ac:dyDescent="0.2">
      <c r="B25" s="309"/>
      <c r="C25" s="310"/>
      <c r="D25" s="310"/>
      <c r="E25" s="310"/>
      <c r="F25" s="310"/>
      <c r="G25" s="310"/>
      <c r="H25" s="310"/>
      <c r="I25" s="310"/>
      <c r="J25" s="310"/>
      <c r="K25" s="310"/>
      <c r="L25" s="310"/>
      <c r="M25" s="310"/>
      <c r="N25" s="311"/>
      <c r="S25" s="49"/>
    </row>
    <row r="26" spans="2:24" ht="15.75" customHeight="1" x14ac:dyDescent="0.2">
      <c r="B26" s="309"/>
      <c r="C26" s="310"/>
      <c r="D26" s="310"/>
      <c r="E26" s="310"/>
      <c r="F26" s="310"/>
      <c r="G26" s="310"/>
      <c r="H26" s="310"/>
      <c r="I26" s="310"/>
      <c r="J26" s="310"/>
      <c r="K26" s="310"/>
      <c r="L26" s="310"/>
      <c r="M26" s="310"/>
      <c r="N26" s="311"/>
      <c r="S26" s="49"/>
    </row>
    <row r="27" spans="2:24" ht="15.75" customHeight="1" x14ac:dyDescent="0.2">
      <c r="B27" s="309"/>
      <c r="C27" s="310"/>
      <c r="D27" s="310"/>
      <c r="E27" s="310"/>
      <c r="F27" s="310"/>
      <c r="G27" s="310"/>
      <c r="H27" s="310"/>
      <c r="I27" s="310"/>
      <c r="J27" s="310"/>
      <c r="K27" s="310"/>
      <c r="L27" s="310"/>
      <c r="M27" s="310"/>
      <c r="N27" s="311"/>
      <c r="S27" s="49"/>
    </row>
    <row r="28" spans="2:24" ht="15.75" customHeight="1" x14ac:dyDescent="0.2">
      <c r="B28" s="309"/>
      <c r="C28" s="310"/>
      <c r="D28" s="310"/>
      <c r="E28" s="310"/>
      <c r="F28" s="310"/>
      <c r="G28" s="310"/>
      <c r="H28" s="310"/>
      <c r="I28" s="310"/>
      <c r="J28" s="310"/>
      <c r="K28" s="310"/>
      <c r="L28" s="310"/>
      <c r="M28" s="310"/>
      <c r="N28" s="311"/>
      <c r="S28" s="49"/>
    </row>
    <row r="29" spans="2:24" ht="15.75" customHeight="1" x14ac:dyDescent="0.2">
      <c r="B29" s="309"/>
      <c r="C29" s="310"/>
      <c r="D29" s="310"/>
      <c r="E29" s="310"/>
      <c r="F29" s="310"/>
      <c r="G29" s="310"/>
      <c r="H29" s="310"/>
      <c r="I29" s="310"/>
      <c r="J29" s="310"/>
      <c r="K29" s="310"/>
      <c r="L29" s="310"/>
      <c r="M29" s="310"/>
      <c r="N29" s="311"/>
      <c r="S29" s="49"/>
    </row>
    <row r="30" spans="2:24" ht="28.5" customHeight="1" thickBot="1" x14ac:dyDescent="0.25">
      <c r="B30" s="312"/>
      <c r="C30" s="313"/>
      <c r="D30" s="313"/>
      <c r="E30" s="313"/>
      <c r="F30" s="313"/>
      <c r="G30" s="313"/>
      <c r="H30" s="313"/>
      <c r="I30" s="313"/>
      <c r="J30" s="313"/>
      <c r="K30" s="313"/>
      <c r="L30" s="313"/>
      <c r="M30" s="313"/>
      <c r="N30" s="314"/>
      <c r="S30" s="49"/>
    </row>
    <row r="31" spans="2:24" ht="15.75" thickBot="1" x14ac:dyDescent="0.25">
      <c r="S31" s="49"/>
    </row>
    <row r="32" spans="2:24" x14ac:dyDescent="0.2">
      <c r="B32" s="306" t="s">
        <v>90</v>
      </c>
      <c r="C32" s="307"/>
      <c r="D32" s="307"/>
      <c r="E32" s="307"/>
      <c r="F32" s="307"/>
      <c r="G32" s="307"/>
      <c r="H32" s="307"/>
      <c r="I32" s="307"/>
      <c r="J32" s="307"/>
      <c r="K32" s="307"/>
      <c r="L32" s="307"/>
      <c r="M32" s="307"/>
      <c r="N32" s="308"/>
      <c r="S32" s="49"/>
    </row>
    <row r="33" spans="2:19" x14ac:dyDescent="0.2">
      <c r="B33" s="309"/>
      <c r="C33" s="310"/>
      <c r="D33" s="310"/>
      <c r="E33" s="310"/>
      <c r="F33" s="310"/>
      <c r="G33" s="310"/>
      <c r="H33" s="310"/>
      <c r="I33" s="310"/>
      <c r="J33" s="310"/>
      <c r="K33" s="310"/>
      <c r="L33" s="310"/>
      <c r="M33" s="310"/>
      <c r="N33" s="311"/>
      <c r="S33" s="49"/>
    </row>
    <row r="34" spans="2:19" x14ac:dyDescent="0.2">
      <c r="B34" s="309"/>
      <c r="C34" s="310"/>
      <c r="D34" s="310"/>
      <c r="E34" s="310"/>
      <c r="F34" s="310"/>
      <c r="G34" s="310"/>
      <c r="H34" s="310"/>
      <c r="I34" s="310"/>
      <c r="J34" s="310"/>
      <c r="K34" s="310"/>
      <c r="L34" s="310"/>
      <c r="M34" s="310"/>
      <c r="N34" s="311"/>
      <c r="S34" s="49"/>
    </row>
    <row r="35" spans="2:19" x14ac:dyDescent="0.2">
      <c r="B35" s="309"/>
      <c r="C35" s="310"/>
      <c r="D35" s="310"/>
      <c r="E35" s="310"/>
      <c r="F35" s="310"/>
      <c r="G35" s="310"/>
      <c r="H35" s="310"/>
      <c r="I35" s="310"/>
      <c r="J35" s="310"/>
      <c r="K35" s="310"/>
      <c r="L35" s="310"/>
      <c r="M35" s="310"/>
      <c r="N35" s="311"/>
      <c r="S35" s="49"/>
    </row>
    <row r="36" spans="2:19" x14ac:dyDescent="0.2">
      <c r="B36" s="309"/>
      <c r="C36" s="310"/>
      <c r="D36" s="310"/>
      <c r="E36" s="310"/>
      <c r="F36" s="310"/>
      <c r="G36" s="310"/>
      <c r="H36" s="310"/>
      <c r="I36" s="310"/>
      <c r="J36" s="310"/>
      <c r="K36" s="310"/>
      <c r="L36" s="310"/>
      <c r="M36" s="310"/>
      <c r="N36" s="311"/>
      <c r="S36" s="49"/>
    </row>
    <row r="37" spans="2:19" x14ac:dyDescent="0.2">
      <c r="B37" s="309"/>
      <c r="C37" s="310"/>
      <c r="D37" s="310"/>
      <c r="E37" s="310"/>
      <c r="F37" s="310"/>
      <c r="G37" s="310"/>
      <c r="H37" s="310"/>
      <c r="I37" s="310"/>
      <c r="J37" s="310"/>
      <c r="K37" s="310"/>
      <c r="L37" s="310"/>
      <c r="M37" s="310"/>
      <c r="N37" s="311"/>
      <c r="S37" s="49"/>
    </row>
    <row r="38" spans="2:19" ht="15.75" thickBot="1" x14ac:dyDescent="0.25">
      <c r="B38" s="312"/>
      <c r="C38" s="313"/>
      <c r="D38" s="313"/>
      <c r="E38" s="313"/>
      <c r="F38" s="313"/>
      <c r="G38" s="313"/>
      <c r="H38" s="313"/>
      <c r="I38" s="313"/>
      <c r="J38" s="313"/>
      <c r="K38" s="313"/>
      <c r="L38" s="313"/>
      <c r="M38" s="313"/>
      <c r="N38" s="314"/>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 BUSINESS CYCLE</vt:lpstr>
      <vt:lpstr>BANDHAN-ELSS</vt:lpstr>
      <vt:lpstr>BANDHAN-AF</vt:lpstr>
      <vt:lpstr>BANDHAN BAF</vt:lpstr>
      <vt:lpstr>BANDHAN-ESF</vt:lpstr>
      <vt:lpstr>BANDHAN CHF</vt:lpstr>
      <vt:lpstr>BANDHAN-AHF</vt:lpstr>
      <vt:lpstr>BANDHAN RF</vt:lpstr>
      <vt:lpstr>BANDHAN MAF</vt:lpstr>
      <vt:lpstr>BANDHAN AAF-AP</vt:lpstr>
      <vt:lpstr>BANDHANAAF-MP</vt:lpstr>
      <vt:lpstr>BANDHANAAF-CP</vt:lpstr>
      <vt:lpstr>BANDHAN IPAFOFs</vt:lpstr>
      <vt:lpstr>BANDHAN-NIFTY 50 Index</vt:lpstr>
      <vt:lpstr>BANDHAN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 Nifty Total Market </vt:lpstr>
      <vt:lpstr>Bandhan Nifty Bank Index Fund</vt:lpstr>
      <vt:lpstr>Bandhan BSE Healthcare Index </vt:lpstr>
      <vt:lpstr>Bandhan Nifty Midcap 150 Index </vt:lpstr>
      <vt:lpstr>Bandhan Nifty 500 Value 50 </vt:lpstr>
      <vt:lpstr>Bandhan Nifty 500 Momentum 50 </vt:lpstr>
      <vt:lpstr>Bandhan Nifty 200 Quality 30 </vt:lpstr>
      <vt:lpstr>Bandhan Nifty Alpha Low Vol 30</vt:lpstr>
      <vt:lpstr>Bandhan Nifty Next 50 Index</vt:lpstr>
      <vt:lpstr>BANDHAN US TB 0-1yr FOF</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2025-06-02T11:37:37Z</dcterms:modified>
</cp:coreProperties>
</file>